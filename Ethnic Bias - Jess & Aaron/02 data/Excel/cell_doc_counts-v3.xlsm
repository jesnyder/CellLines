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/>
  <workbookPr/>
  <mc:AlternateContent xmlns:mc="http://schemas.openxmlformats.org/markup-compatibility/2006">
    <mc:Choice Requires="x15">
      <x15ac:absPath xmlns:x15ac="http://schemas.microsoft.com/office/spreadsheetml/2010/11/ac" url="/Users/jessicasnyder/Dropbox (MIT)/MIT/Ethnic Bias/02 Data/Excel/"/>
    </mc:Choice>
  </mc:AlternateContent>
  <bookViews>
    <workbookView xWindow="760" yWindow="460" windowWidth="19300" windowHeight="14180" tabRatio="500"/>
  </bookViews>
  <sheets>
    <sheet name="cell_doc_counts-v2" sheetId="1" r:id="rId1"/>
    <sheet name="Sheet6" sheetId="7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93" i="1"/>
  <c r="O109" i="1"/>
  <c r="O111" i="1"/>
  <c r="O133" i="1"/>
  <c r="O134" i="1"/>
  <c r="O136" i="1"/>
  <c r="O114" i="1"/>
  <c r="O118" i="1"/>
  <c r="O119" i="1"/>
  <c r="O130" i="1"/>
  <c r="O137" i="1"/>
  <c r="O135" i="1"/>
  <c r="O120" i="1"/>
  <c r="O127" i="1"/>
  <c r="O128" i="1"/>
  <c r="O122" i="1"/>
  <c r="O115" i="1"/>
  <c r="O116" i="1"/>
  <c r="O121" i="1"/>
  <c r="O108" i="1"/>
  <c r="O110" i="1"/>
  <c r="O71" i="1"/>
  <c r="O139" i="1"/>
  <c r="O138" i="1"/>
  <c r="O112" i="1"/>
  <c r="O141" i="1"/>
  <c r="O28" i="1"/>
  <c r="O5" i="1"/>
  <c r="O150" i="1"/>
  <c r="O155" i="1"/>
  <c r="O147" i="1"/>
  <c r="O149" i="1"/>
  <c r="O148" i="1"/>
  <c r="O158" i="1"/>
  <c r="O151" i="1"/>
  <c r="O153" i="1"/>
  <c r="O154" i="1"/>
  <c r="O145" i="1"/>
  <c r="O152" i="1"/>
  <c r="O50" i="1"/>
  <c r="O55" i="1"/>
  <c r="O49" i="1"/>
  <c r="O58" i="1"/>
  <c r="O56" i="1"/>
  <c r="O57" i="1"/>
  <c r="O60" i="1"/>
  <c r="O52" i="1"/>
  <c r="O51" i="1"/>
  <c r="O59" i="1"/>
  <c r="O178" i="1"/>
  <c r="O164" i="1"/>
  <c r="O162" i="1"/>
  <c r="O163" i="1"/>
  <c r="O165" i="1"/>
  <c r="O160" i="1"/>
  <c r="O172" i="1"/>
  <c r="O167" i="1"/>
  <c r="O168" i="1"/>
  <c r="O169" i="1"/>
  <c r="O166" i="1"/>
  <c r="O171" i="1"/>
  <c r="O170" i="1"/>
  <c r="O176" i="1"/>
  <c r="O179" i="1"/>
  <c r="O174" i="1"/>
  <c r="O180" i="1"/>
  <c r="O161" i="1"/>
  <c r="O181" i="1"/>
  <c r="O175" i="1"/>
  <c r="O182" i="1"/>
  <c r="O142" i="1"/>
  <c r="O104" i="1"/>
  <c r="O103" i="1"/>
  <c r="O126" i="1"/>
  <c r="O107" i="1"/>
  <c r="O105" i="1"/>
  <c r="O125" i="1"/>
  <c r="O106" i="1"/>
  <c r="O123" i="1"/>
  <c r="O77" i="1"/>
  <c r="O83" i="1"/>
  <c r="O87" i="1"/>
  <c r="O81" i="1"/>
  <c r="O76" i="1"/>
  <c r="O79" i="1"/>
  <c r="O86" i="1"/>
  <c r="O74" i="1"/>
  <c r="O84" i="1"/>
  <c r="O85" i="1"/>
  <c r="O89" i="1"/>
  <c r="O75" i="1"/>
  <c r="O88" i="1"/>
  <c r="O80" i="1"/>
  <c r="O91" i="1"/>
  <c r="O39" i="1"/>
  <c r="O191" i="1"/>
  <c r="O156" i="1"/>
  <c r="O157" i="1"/>
  <c r="O9" i="1"/>
  <c r="O10" i="1"/>
  <c r="O11" i="1"/>
  <c r="O97" i="1"/>
  <c r="O192" i="1"/>
  <c r="O193" i="1"/>
  <c r="O95" i="1"/>
  <c r="O173" i="1"/>
  <c r="O195" i="1"/>
  <c r="O196" i="1"/>
  <c r="O197" i="1"/>
  <c r="O43" i="1"/>
  <c r="O27" i="1"/>
  <c r="O183" i="1"/>
  <c r="O82" i="1"/>
  <c r="O7" i="1"/>
  <c r="O100" i="1"/>
  <c r="O98" i="1"/>
  <c r="O96" i="1"/>
  <c r="O99" i="1"/>
  <c r="O94" i="1"/>
  <c r="O101" i="1"/>
  <c r="O6" i="1"/>
  <c r="O66" i="1"/>
  <c r="O68" i="1"/>
  <c r="O30" i="1"/>
  <c r="O92" i="1"/>
  <c r="O12" i="1"/>
  <c r="O45" i="1"/>
  <c r="O46" i="1"/>
  <c r="O42" i="1"/>
  <c r="O14" i="1"/>
  <c r="O15" i="1"/>
  <c r="O19" i="1"/>
  <c r="O20" i="1"/>
  <c r="O23" i="1"/>
  <c r="O24" i="1"/>
  <c r="O31" i="1"/>
  <c r="O29" i="1"/>
  <c r="O34" i="1"/>
  <c r="O32" i="1"/>
  <c r="O37" i="1"/>
  <c r="O36" i="1"/>
  <c r="O2" i="1"/>
  <c r="O198" i="1"/>
  <c r="O199" i="1"/>
  <c r="O40" i="1"/>
  <c r="O41" i="1"/>
  <c r="O44" i="1"/>
  <c r="O189" i="1"/>
  <c r="O186" i="1"/>
  <c r="O187" i="1"/>
  <c r="O190" i="1"/>
  <c r="O62" i="1"/>
  <c r="O61" i="1"/>
  <c r="O63" i="1"/>
  <c r="O124" i="1"/>
  <c r="O200" i="1"/>
  <c r="O201" i="1"/>
  <c r="O17" i="1"/>
  <c r="O3" i="1"/>
  <c r="O102" i="1"/>
  <c r="O159" i="1"/>
  <c r="O64" i="1"/>
  <c r="O48" i="1"/>
  <c r="O90" i="1"/>
  <c r="O1" i="1"/>
  <c r="O129" i="1"/>
  <c r="O65" i="1"/>
  <c r="O117" i="1"/>
  <c r="O113" i="1"/>
  <c r="O4" i="1"/>
  <c r="O53" i="1"/>
  <c r="O54" i="1"/>
  <c r="O78" i="1"/>
  <c r="O131" i="1"/>
  <c r="O132" i="1"/>
  <c r="O185" i="1"/>
  <c r="O144" i="1"/>
  <c r="O26" i="1"/>
  <c r="O18" i="1"/>
  <c r="O47" i="1"/>
  <c r="O25" i="1"/>
  <c r="O16" i="1"/>
  <c r="O140" i="1"/>
  <c r="O35" i="1"/>
  <c r="O143" i="1"/>
  <c r="O69" i="1"/>
  <c r="O22" i="1"/>
  <c r="O146" i="1"/>
  <c r="O8" i="1"/>
  <c r="O70" i="1"/>
  <c r="O194" i="1"/>
  <c r="O67" i="1"/>
  <c r="O73" i="1"/>
  <c r="O72" i="1"/>
  <c r="O93" i="1"/>
  <c r="O13" i="1"/>
  <c r="O38" i="1"/>
  <c r="O33" i="1"/>
  <c r="O188" i="1"/>
  <c r="O177" i="1"/>
  <c r="O184" i="1"/>
  <c r="O21" i="1"/>
  <c r="N1" i="1"/>
  <c r="N35" i="1"/>
  <c r="N6" i="1"/>
  <c r="N13" i="1"/>
  <c r="A9" i="1"/>
  <c r="N9" i="1"/>
  <c r="N10" i="1"/>
  <c r="N144" i="1"/>
  <c r="N94" i="1"/>
  <c r="N12" i="1"/>
  <c r="N29" i="1"/>
  <c r="A11" i="1"/>
  <c r="N11" i="1"/>
  <c r="N145" i="1"/>
  <c r="N36" i="1"/>
  <c r="N143" i="1"/>
  <c r="N69" i="1"/>
  <c r="N77" i="1"/>
  <c r="N129" i="1"/>
  <c r="N76" i="1"/>
  <c r="N79" i="1"/>
  <c r="N39" i="1"/>
  <c r="N66" i="1"/>
  <c r="N201" i="1"/>
  <c r="N162" i="1"/>
  <c r="N163" i="1"/>
  <c r="N110" i="1"/>
  <c r="N62" i="1"/>
  <c r="N80" i="1"/>
  <c r="N108" i="1"/>
  <c r="N98" i="1"/>
  <c r="N96" i="1"/>
  <c r="N130" i="1"/>
  <c r="N14" i="1"/>
  <c r="N7" i="1"/>
  <c r="N100" i="1"/>
  <c r="N101" i="1"/>
  <c r="N18" i="1"/>
  <c r="N164" i="1"/>
  <c r="N161" i="1"/>
  <c r="N47" i="1"/>
  <c r="N194" i="1"/>
  <c r="A97" i="1"/>
  <c r="N97" i="1"/>
  <c r="N78" i="1"/>
  <c r="N192" i="1"/>
  <c r="N193" i="1"/>
  <c r="N95" i="1"/>
  <c r="N3" i="1"/>
  <c r="N109" i="1"/>
  <c r="N165" i="1"/>
  <c r="N117" i="1"/>
  <c r="N160" i="1"/>
  <c r="N173" i="1"/>
  <c r="N199" i="1"/>
  <c r="N68" i="1"/>
  <c r="N30" i="1"/>
  <c r="N102" i="1"/>
  <c r="N195" i="1"/>
  <c r="N196" i="1"/>
  <c r="N197" i="1"/>
  <c r="N56" i="1"/>
  <c r="N57" i="1"/>
  <c r="N198" i="1"/>
  <c r="A43" i="1"/>
  <c r="N43" i="1"/>
  <c r="N99" i="1"/>
  <c r="N38" i="1"/>
  <c r="N120" i="1"/>
  <c r="N172" i="1"/>
  <c r="N86" i="1"/>
  <c r="N33" i="1"/>
  <c r="N58" i="1"/>
  <c r="N55" i="1"/>
  <c r="N142" i="1"/>
  <c r="A74" i="1"/>
  <c r="N74" i="1"/>
  <c r="N34" i="1"/>
  <c r="N32" i="1"/>
  <c r="N127" i="1"/>
  <c r="N116" i="1"/>
  <c r="N128" i="1"/>
  <c r="N139" i="1"/>
  <c r="A61" i="1"/>
  <c r="N61" i="1"/>
  <c r="N104" i="1"/>
  <c r="N103" i="1"/>
  <c r="N126" i="1"/>
  <c r="N107" i="1"/>
  <c r="N105" i="1"/>
  <c r="N125" i="1"/>
  <c r="N152" i="1"/>
  <c r="N60" i="1"/>
  <c r="N185" i="1"/>
  <c r="N22" i="1"/>
  <c r="A53" i="1"/>
  <c r="N53" i="1"/>
  <c r="N2" i="1"/>
  <c r="N37" i="1"/>
  <c r="N67" i="1"/>
  <c r="N186" i="1"/>
  <c r="N150" i="1"/>
  <c r="N42" i="1"/>
  <c r="N25" i="1"/>
  <c r="N54" i="1"/>
  <c r="N147" i="1"/>
  <c r="N141" i="1"/>
  <c r="A28" i="1"/>
  <c r="N28" i="1"/>
  <c r="N140" i="1"/>
  <c r="N149" i="1"/>
  <c r="A64" i="1"/>
  <c r="N64" i="1"/>
  <c r="N84" i="1"/>
  <c r="N48" i="1"/>
  <c r="N24" i="1"/>
  <c r="N81" i="1"/>
  <c r="N52" i="1"/>
  <c r="N167" i="1"/>
  <c r="N168" i="1"/>
  <c r="N169" i="1"/>
  <c r="A118" i="1"/>
  <c r="N118" i="1"/>
  <c r="N119" i="1"/>
  <c r="N166" i="1"/>
  <c r="N190" i="1"/>
  <c r="A171" i="1"/>
  <c r="N171" i="1"/>
  <c r="A170" i="1"/>
  <c r="N170" i="1"/>
  <c r="N151" i="1"/>
  <c r="A41" i="1"/>
  <c r="N41" i="1"/>
  <c r="N40" i="1"/>
  <c r="N146" i="1"/>
  <c r="N23" i="1"/>
  <c r="N123" i="1"/>
  <c r="N49" i="1"/>
  <c r="N138" i="1"/>
  <c r="N51" i="1"/>
  <c r="N50" i="1"/>
  <c r="A15" i="1"/>
  <c r="N15" i="1"/>
  <c r="N82" i="1"/>
  <c r="N148" i="1"/>
  <c r="N27" i="1"/>
  <c r="N72" i="1"/>
  <c r="A85" i="1"/>
  <c r="N85" i="1"/>
  <c r="N111" i="1"/>
  <c r="A83" i="1"/>
  <c r="N83" i="1"/>
  <c r="N188" i="1"/>
  <c r="N89" i="1"/>
  <c r="N187" i="1"/>
  <c r="N65" i="1"/>
  <c r="N153" i="1"/>
  <c r="N154" i="1"/>
  <c r="N159" i="1"/>
  <c r="N121" i="1"/>
  <c r="N124" i="1"/>
  <c r="N31" i="1"/>
  <c r="N8" i="1"/>
  <c r="N191" i="1"/>
  <c r="N73" i="1"/>
  <c r="N182" i="1"/>
  <c r="N177" i="1"/>
  <c r="N122" i="1"/>
  <c r="N174" i="1"/>
  <c r="A180" i="1"/>
  <c r="N180" i="1"/>
  <c r="N155" i="1"/>
  <c r="N70" i="1"/>
  <c r="A136" i="1"/>
  <c r="N136" i="1"/>
  <c r="N106" i="1"/>
  <c r="N184" i="1"/>
  <c r="A178" i="1"/>
  <c r="N178" i="1"/>
  <c r="A181" i="1"/>
  <c r="N181" i="1"/>
  <c r="A114" i="1"/>
  <c r="N114" i="1"/>
  <c r="N75" i="1"/>
  <c r="N137" i="1"/>
  <c r="N135" i="1"/>
  <c r="N4" i="1"/>
  <c r="A175" i="1"/>
  <c r="N175" i="1"/>
  <c r="N87" i="1"/>
  <c r="N88" i="1"/>
  <c r="A133" i="1"/>
  <c r="N133" i="1"/>
  <c r="N134" i="1"/>
  <c r="N176" i="1"/>
  <c r="N113" i="1"/>
  <c r="N45" i="1"/>
  <c r="N179" i="1"/>
  <c r="A131" i="1"/>
  <c r="N131" i="1"/>
  <c r="N132" i="1"/>
  <c r="N112" i="1"/>
  <c r="N16" i="1"/>
  <c r="N92" i="1"/>
  <c r="N189" i="1"/>
  <c r="N26" i="1"/>
  <c r="N21" i="1"/>
  <c r="N19" i="1"/>
  <c r="N20" i="1"/>
  <c r="N93" i="1"/>
  <c r="N115" i="1"/>
  <c r="N156" i="1"/>
  <c r="N17" i="1"/>
  <c r="N91" i="1"/>
  <c r="N183" i="1"/>
  <c r="N157" i="1"/>
  <c r="N71" i="1"/>
  <c r="N46" i="1"/>
  <c r="N90" i="1"/>
  <c r="N158" i="1"/>
  <c r="N63" i="1"/>
  <c r="N59" i="1"/>
  <c r="N5" i="1"/>
  <c r="N44" i="1"/>
  <c r="N200" i="1"/>
  <c r="H159" i="1"/>
</calcChain>
</file>

<file path=xl/sharedStrings.xml><?xml version="1.0" encoding="utf-8"?>
<sst xmlns="http://schemas.openxmlformats.org/spreadsheetml/2006/main" count="1779" uniqueCount="581">
  <si>
    <t>Cell</t>
  </si>
  <si>
    <t>HeLa</t>
  </si>
  <si>
    <t>K562</t>
  </si>
  <si>
    <t>MDA-MB-231</t>
  </si>
  <si>
    <t>MCF7</t>
  </si>
  <si>
    <t>HepG2</t>
  </si>
  <si>
    <t>A549</t>
  </si>
  <si>
    <t>TT</t>
  </si>
  <si>
    <t>U937</t>
  </si>
  <si>
    <t>HL60</t>
  </si>
  <si>
    <t>SH-SY5Y</t>
  </si>
  <si>
    <t>Ishikawa</t>
  </si>
  <si>
    <t>KB</t>
  </si>
  <si>
    <t>THP-1</t>
  </si>
  <si>
    <t>K1</t>
  </si>
  <si>
    <t>HT29</t>
  </si>
  <si>
    <t>T47D</t>
  </si>
  <si>
    <t>HT1080</t>
  </si>
  <si>
    <t>KG1a</t>
  </si>
  <si>
    <t>Bob</t>
  </si>
  <si>
    <t>A431</t>
  </si>
  <si>
    <t>EB3</t>
  </si>
  <si>
    <t>AGS</t>
  </si>
  <si>
    <t>T98G</t>
  </si>
  <si>
    <t>SKOV3</t>
  </si>
  <si>
    <t>A2780</t>
  </si>
  <si>
    <t>A172</t>
  </si>
  <si>
    <t>DLD-1</t>
  </si>
  <si>
    <t>PANC-1</t>
  </si>
  <si>
    <t>TF1</t>
  </si>
  <si>
    <t>KG1</t>
  </si>
  <si>
    <t>SK-N-SH</t>
  </si>
  <si>
    <t>NTERA-2</t>
  </si>
  <si>
    <t>BxPC-3</t>
  </si>
  <si>
    <t>A375</t>
  </si>
  <si>
    <t>LS174T</t>
  </si>
  <si>
    <t>Hs578T</t>
  </si>
  <si>
    <t>LoVo</t>
  </si>
  <si>
    <t>C16</t>
  </si>
  <si>
    <t>SK-N-MC</t>
  </si>
  <si>
    <t>Colo</t>
  </si>
  <si>
    <t>PLC/PRF/5</t>
  </si>
  <si>
    <t>IMR-32</t>
  </si>
  <si>
    <t>CCRF-CEM</t>
  </si>
  <si>
    <t>AsPC-1</t>
  </si>
  <si>
    <t>ZR-75-1</t>
  </si>
  <si>
    <t>Y79</t>
  </si>
  <si>
    <t>HT115</t>
  </si>
  <si>
    <t>PA1</t>
  </si>
  <si>
    <t>MOR</t>
  </si>
  <si>
    <t>BeWo</t>
  </si>
  <si>
    <t>HCT 116</t>
  </si>
  <si>
    <t>H157</t>
  </si>
  <si>
    <t>HeLa S3</t>
  </si>
  <si>
    <t>MDA-MB-157</t>
  </si>
  <si>
    <t>U-87 MG</t>
  </si>
  <si>
    <t>ML-1</t>
  </si>
  <si>
    <t>RPMI 8226</t>
  </si>
  <si>
    <t>WiDr</t>
  </si>
  <si>
    <t>VCaP</t>
  </si>
  <si>
    <t>GRM</t>
  </si>
  <si>
    <t>SK-N-AS</t>
  </si>
  <si>
    <t>SK-OV-3</t>
  </si>
  <si>
    <t>NCI-H929</t>
  </si>
  <si>
    <t>HSG</t>
  </si>
  <si>
    <t>C32</t>
  </si>
  <si>
    <t>JEG3</t>
  </si>
  <si>
    <t>RT4</t>
  </si>
  <si>
    <t>Namalwa</t>
  </si>
  <si>
    <t>TE671</t>
  </si>
  <si>
    <t>KU812</t>
  </si>
  <si>
    <t>ACHN</t>
  </si>
  <si>
    <t>FLYRD18</t>
  </si>
  <si>
    <t>ECV304</t>
  </si>
  <si>
    <t>A2058</t>
  </si>
  <si>
    <t>MEG-01</t>
  </si>
  <si>
    <t>A673</t>
  </si>
  <si>
    <t>F-36P</t>
  </si>
  <si>
    <t>T84</t>
  </si>
  <si>
    <t>SK-N-DZ</t>
  </si>
  <si>
    <t>CFPAC-1</t>
  </si>
  <si>
    <t>WM115</t>
  </si>
  <si>
    <t>H69</t>
  </si>
  <si>
    <t>MKL1</t>
  </si>
  <si>
    <t>SCC9</t>
  </si>
  <si>
    <t>KATO III</t>
  </si>
  <si>
    <t>H357</t>
  </si>
  <si>
    <t>HCA2</t>
  </si>
  <si>
    <t>HUT78</t>
  </si>
  <si>
    <t>RAJI</t>
  </si>
  <si>
    <t>NCI-H292</t>
  </si>
  <si>
    <t>NCI-H358</t>
  </si>
  <si>
    <t>HGC-27</t>
  </si>
  <si>
    <t>HR5</t>
  </si>
  <si>
    <t>UM-UC-3</t>
  </si>
  <si>
    <t>SW837</t>
  </si>
  <si>
    <t>PNT1A</t>
  </si>
  <si>
    <t>NB69</t>
  </si>
  <si>
    <t>Hep2</t>
  </si>
  <si>
    <t>CACO-2</t>
  </si>
  <si>
    <t>ARH-77</t>
  </si>
  <si>
    <t>SK-HEP-1</t>
  </si>
  <si>
    <t>ZR-75-30</t>
  </si>
  <si>
    <t>MES-SA</t>
  </si>
  <si>
    <t>MOLT-3</t>
  </si>
  <si>
    <t>PEO1</t>
  </si>
  <si>
    <t>HS-Sultan</t>
  </si>
  <si>
    <t>COLO 205</t>
  </si>
  <si>
    <t>1321N1</t>
  </si>
  <si>
    <t>SK-N-BE(2)</t>
  </si>
  <si>
    <t>P4E6</t>
  </si>
  <si>
    <t>COLO320DM</t>
  </si>
  <si>
    <t>OE33</t>
  </si>
  <si>
    <t>RCC4</t>
  </si>
  <si>
    <t>CCF-STTG1</t>
  </si>
  <si>
    <t>SW-480</t>
  </si>
  <si>
    <t>L132</t>
  </si>
  <si>
    <t>CA46</t>
  </si>
  <si>
    <t>G-361</t>
  </si>
  <si>
    <t>P3HR-1</t>
  </si>
  <si>
    <t>G-401</t>
  </si>
  <si>
    <t>LS180</t>
  </si>
  <si>
    <t>KELLY</t>
  </si>
  <si>
    <t>CHP-134</t>
  </si>
  <si>
    <t>U266B1</t>
  </si>
  <si>
    <t>HCT 8</t>
  </si>
  <si>
    <t>SW-620</t>
  </si>
  <si>
    <t>833KE</t>
  </si>
  <si>
    <t>LIM1215</t>
  </si>
  <si>
    <t>J45.01</t>
  </si>
  <si>
    <t>WERI</t>
  </si>
  <si>
    <t>SK-PN-DW</t>
  </si>
  <si>
    <t>PC14</t>
  </si>
  <si>
    <t>HT1376</t>
  </si>
  <si>
    <t>FLYA13</t>
  </si>
  <si>
    <t>CCRF-HSB-2</t>
  </si>
  <si>
    <t>U-373 MG</t>
  </si>
  <si>
    <t>EoL-1</t>
  </si>
  <si>
    <t>C8166</t>
  </si>
  <si>
    <t>AV3</t>
  </si>
  <si>
    <t>DAUDI</t>
  </si>
  <si>
    <t>HCT 15</t>
  </si>
  <si>
    <t>MCC13</t>
  </si>
  <si>
    <t>SUP-T1</t>
  </si>
  <si>
    <t>MS 1</t>
  </si>
  <si>
    <t>WM-266-4</t>
  </si>
  <si>
    <t>SW 48</t>
  </si>
  <si>
    <t>MFE296</t>
  </si>
  <si>
    <t>SKMES1</t>
  </si>
  <si>
    <t>JU77</t>
  </si>
  <si>
    <t>8505C</t>
  </si>
  <si>
    <t>COR L23</t>
  </si>
  <si>
    <t>HRA19a1.1</t>
  </si>
  <si>
    <t>SW-13</t>
  </si>
  <si>
    <t>SK-N-F1</t>
  </si>
  <si>
    <t>H376</t>
  </si>
  <si>
    <t>JIYOYE</t>
  </si>
  <si>
    <t>KYSE150</t>
  </si>
  <si>
    <t>ONE58</t>
  </si>
  <si>
    <t>HeLa229</t>
  </si>
  <si>
    <t>MFE280</t>
  </si>
  <si>
    <t>NCI-H322</t>
  </si>
  <si>
    <t>Detroit 562</t>
  </si>
  <si>
    <t>JVM-2</t>
  </si>
  <si>
    <t>OE19</t>
  </si>
  <si>
    <t>SerBob</t>
  </si>
  <si>
    <t>MIAPaCa2</t>
  </si>
  <si>
    <t>Jurkat E6.1</t>
  </si>
  <si>
    <t>RAMOS</t>
  </si>
  <si>
    <t>LA-N-1</t>
  </si>
  <si>
    <t>COLO-206F</t>
  </si>
  <si>
    <t>MOLT 4</t>
  </si>
  <si>
    <t>FTC-133</t>
  </si>
  <si>
    <t>VA-ES-BJ</t>
  </si>
  <si>
    <t>Sci1</t>
  </si>
  <si>
    <t>SW403</t>
  </si>
  <si>
    <t>HCA-7</t>
  </si>
  <si>
    <t>PEA2</t>
  </si>
  <si>
    <t>HEPM</t>
  </si>
  <si>
    <t>MEWO</t>
  </si>
  <si>
    <t>PEA1</t>
  </si>
  <si>
    <t>BICR56</t>
  </si>
  <si>
    <t>LO68</t>
  </si>
  <si>
    <t>HMVII</t>
  </si>
  <si>
    <t>OE21</t>
  </si>
  <si>
    <t>KYSE 70</t>
  </si>
  <si>
    <t>DBTRG.05MG</t>
  </si>
  <si>
    <t>PSN1</t>
  </si>
  <si>
    <t>CAKI-2</t>
  </si>
  <si>
    <t>Ca Ski</t>
  </si>
  <si>
    <t>C170</t>
  </si>
  <si>
    <t>BICR6</t>
  </si>
  <si>
    <t>BICR3</t>
  </si>
  <si>
    <t>RPMI 8866</t>
  </si>
  <si>
    <t>SW 948</t>
  </si>
  <si>
    <t>CALU-1</t>
  </si>
  <si>
    <t>C32TG</t>
  </si>
  <si>
    <t>KU812F</t>
  </si>
  <si>
    <t>KYSE30</t>
  </si>
  <si>
    <t>Count</t>
  </si>
  <si>
    <t>Tissue1</t>
  </si>
  <si>
    <t>Tissue2</t>
  </si>
  <si>
    <t>Disease</t>
  </si>
  <si>
    <t>Age</t>
  </si>
  <si>
    <t xml:space="preserve">Gender </t>
  </si>
  <si>
    <t>Ethnicity</t>
  </si>
  <si>
    <t>Year</t>
  </si>
  <si>
    <t xml:space="preserve"> </t>
  </si>
  <si>
    <t>Thyroid</t>
  </si>
  <si>
    <t>Medulla</t>
  </si>
  <si>
    <t>Carcinoma</t>
  </si>
  <si>
    <t>Female</t>
  </si>
  <si>
    <t>Caucasian</t>
  </si>
  <si>
    <t>Thyroid carcinoma</t>
  </si>
  <si>
    <t>Male</t>
  </si>
  <si>
    <t>Muscle</t>
  </si>
  <si>
    <t>Rhabdomyosarcoma</t>
  </si>
  <si>
    <t>Mouth</t>
  </si>
  <si>
    <t>HeLa contaminant</t>
  </si>
  <si>
    <t>Carcinoma, papiloma</t>
  </si>
  <si>
    <t>Black</t>
  </si>
  <si>
    <t>Cervix</t>
  </si>
  <si>
    <t>Adenocarcinoma</t>
  </si>
  <si>
    <t>Skin</t>
  </si>
  <si>
    <t>Melanoma, Amelanotic</t>
  </si>
  <si>
    <t>Blood</t>
  </si>
  <si>
    <t>Lymphoblastoid</t>
  </si>
  <si>
    <t>Acute myeloblastic leukaemia</t>
  </si>
  <si>
    <t>Unspecified</t>
  </si>
  <si>
    <t>T-cell leukaemia</t>
  </si>
  <si>
    <t>Bone Marrow</t>
  </si>
  <si>
    <t>Lymphoblast</t>
  </si>
  <si>
    <t>Chronic myelogenous leukemia</t>
  </si>
  <si>
    <t>Uterus</t>
  </si>
  <si>
    <t>Endometrial adenocarcinoma</t>
  </si>
  <si>
    <t>Asian</t>
  </si>
  <si>
    <t>Ovary</t>
  </si>
  <si>
    <t>Teratocarcinoma</t>
  </si>
  <si>
    <t>Erythroleukemia</t>
  </si>
  <si>
    <t>Japanese</t>
  </si>
  <si>
    <t>Mammary gland</t>
  </si>
  <si>
    <t>Liver</t>
  </si>
  <si>
    <t>Hepatocellular carcinoma</t>
  </si>
  <si>
    <t>Lung</t>
  </si>
  <si>
    <t>Prostate cancer</t>
  </si>
  <si>
    <t xml:space="preserve">Caucasian </t>
  </si>
  <si>
    <t>Normal</t>
  </si>
  <si>
    <t>Peripheral blood</t>
  </si>
  <si>
    <t>Acute promyelocytic leukemia</t>
  </si>
  <si>
    <t>pleura</t>
  </si>
  <si>
    <t>Histiocytic lymphoma</t>
  </si>
  <si>
    <t>Neuroblastoma</t>
  </si>
  <si>
    <t>Neuroendocrine skin carcinoma</t>
  </si>
  <si>
    <t>Colon</t>
  </si>
  <si>
    <t>Colorectal carcinoma</t>
  </si>
  <si>
    <t>Acute monocytic leukemia</t>
  </si>
  <si>
    <t>Stomach</t>
  </si>
  <si>
    <t>Gastric adenocarcinoma</t>
  </si>
  <si>
    <t>Colorectal adenocarcinoma</t>
  </si>
  <si>
    <t>Brain</t>
  </si>
  <si>
    <t>Astrocytoma</t>
  </si>
  <si>
    <t>Glioblastoma</t>
  </si>
  <si>
    <t>Urinary bladder</t>
  </si>
  <si>
    <t>Transitional cell papilloma</t>
  </si>
  <si>
    <t>Ductal carcinoma</t>
  </si>
  <si>
    <t>Epidermoid carcinoma</t>
  </si>
  <si>
    <t>Acute myelogenous leukemia</t>
  </si>
  <si>
    <t>Kidney</t>
  </si>
  <si>
    <t>Renal cell carcinoma cell line</t>
  </si>
  <si>
    <t>Ovarian carcinoma</t>
  </si>
  <si>
    <t>Glioblastoma multiforme</t>
  </si>
  <si>
    <t>B lymphocyte</t>
  </si>
  <si>
    <t>Burkitt's lymphoma</t>
  </si>
  <si>
    <t>Malignant melanoma</t>
  </si>
  <si>
    <t>Pancreas</t>
  </si>
  <si>
    <t>Epithelioid carcinoma</t>
  </si>
  <si>
    <t>Metastic Site</t>
  </si>
  <si>
    <t>Bone marrow</t>
  </si>
  <si>
    <t>Testis</t>
  </si>
  <si>
    <t>Malignant pluripotent embryonal carcinoma</t>
  </si>
  <si>
    <t>HeLa containment</t>
  </si>
  <si>
    <t>Submandibular gland</t>
  </si>
  <si>
    <t>Melanoma</t>
  </si>
  <si>
    <t>Mammary gland/breast</t>
  </si>
  <si>
    <t>Neuroepithelioma</t>
  </si>
  <si>
    <t>Alexander cells</t>
  </si>
  <si>
    <t>Hepatoma</t>
  </si>
  <si>
    <t>Eye retina</t>
  </si>
  <si>
    <t>Retinoblastoma</t>
  </si>
  <si>
    <t>Acute lymphoblastic leukemia</t>
  </si>
  <si>
    <t>Colon metastic site lung</t>
  </si>
  <si>
    <t>Tongue</t>
  </si>
  <si>
    <t>Buccal mucosal</t>
  </si>
  <si>
    <t>Squamous cell carcinoma</t>
  </si>
  <si>
    <t>Placenta</t>
  </si>
  <si>
    <t>Choriocarcinoma</t>
  </si>
  <si>
    <t>Plasmacytoma; myeloma</t>
  </si>
  <si>
    <t>Renal cell adenocarcinoma</t>
  </si>
  <si>
    <t>Rhabdoid tumor (formerly classified as Wilms' tumor)</t>
  </si>
  <si>
    <t>Prostate</t>
  </si>
  <si>
    <t>Cancer</t>
  </si>
  <si>
    <t>Chronic myelogenous leukemia (CML)</t>
  </si>
  <si>
    <t>Cervix carcinoma</t>
  </si>
  <si>
    <t>Bladder</t>
  </si>
  <si>
    <t xml:space="preserve">Embryo </t>
  </si>
  <si>
    <t>Fibrosarcoma</t>
  </si>
  <si>
    <t>Skin; derived from metastatic site: lymph node</t>
  </si>
  <si>
    <t>Malignant tumour</t>
  </si>
  <si>
    <t>Adrenal gland</t>
  </si>
  <si>
    <t>Colorectal Adenocarcinoma</t>
  </si>
  <si>
    <t>Gastric carcinoma</t>
  </si>
  <si>
    <t>Sezary Syndrome</t>
  </si>
  <si>
    <t>Lymph</t>
  </si>
  <si>
    <t>Burkitt′s lymphoma</t>
  </si>
  <si>
    <t>Metastatic site</t>
  </si>
  <si>
    <t>Pulmonary mucoepidermoid carcinoma</t>
  </si>
  <si>
    <t>T-cell lymphoblastic lymphoma</t>
  </si>
  <si>
    <t>Connective tissue</t>
  </si>
  <si>
    <t>Ileocecal colorectal adenocarcinoma</t>
  </si>
  <si>
    <t>Oesophagus</t>
  </si>
  <si>
    <t xml:space="preserve"> Barrett′s metaplasia</t>
  </si>
  <si>
    <t>Oesophageal carcinoma</t>
  </si>
  <si>
    <t>Acute T cell leukemia</t>
  </si>
  <si>
    <t>Pancreatic adenocarcinoma</t>
  </si>
  <si>
    <t>Large cell carcinoma</t>
  </si>
  <si>
    <t>Myeloma</t>
  </si>
  <si>
    <t>Gastric cardia/oesophageal gastric junction</t>
  </si>
  <si>
    <t>Fusiform</t>
  </si>
  <si>
    <t>Tumor</t>
  </si>
  <si>
    <t>Vagina</t>
  </si>
  <si>
    <t>Malignant  melanoma</t>
  </si>
  <si>
    <t>Oesophageal cancer</t>
  </si>
  <si>
    <t>Epithelioid sarcoma</t>
  </si>
  <si>
    <t>Clear cell carcinoma</t>
  </si>
  <si>
    <t>Amelanotic melanoma</t>
  </si>
  <si>
    <t>Adencarcinoma</t>
  </si>
  <si>
    <t>Medulallary carcinoma</t>
  </si>
  <si>
    <t>Uterine sarcoma</t>
  </si>
  <si>
    <t>Leukemia</t>
  </si>
  <si>
    <t>Lymph node</t>
  </si>
  <si>
    <t xml:space="preserve">  </t>
  </si>
  <si>
    <t>Cervical node</t>
  </si>
  <si>
    <t>Bronchioalveolar carcinoma</t>
  </si>
  <si>
    <t>Metastic site</t>
  </si>
  <si>
    <t>Prostate cancer metasis</t>
  </si>
  <si>
    <t>Endometrium</t>
  </si>
  <si>
    <t>Endometrial carcinoma</t>
  </si>
  <si>
    <t>eosinophilic leukaemia</t>
  </si>
  <si>
    <t>Testicular germ cell tumour.</t>
  </si>
  <si>
    <t>Ewing's Sarcoma</t>
  </si>
  <si>
    <t>Plasma Cell Leukemia</t>
  </si>
  <si>
    <t>Alveolus</t>
  </si>
  <si>
    <t>Hypopharynx</t>
  </si>
  <si>
    <t>Umbilical cord blood</t>
  </si>
  <si>
    <t>T-cell leukemia</t>
  </si>
  <si>
    <t>Grade III,epidermoid carcinoma</t>
  </si>
  <si>
    <t>grade IV, astrocytoma</t>
  </si>
  <si>
    <t xml:space="preserve"> acute lymphoblastic leukemia</t>
  </si>
  <si>
    <t>http://www.atcc.org/products/all/CRL-1918.aspx</t>
  </si>
  <si>
    <t xml:space="preserve"> ductal adenocarcinoma; cystic fibrosis</t>
  </si>
  <si>
    <t>http://www.sigmaaldrich.com/catalog/product/sigma/06122002?lang=en&amp;region=US&amp;gclid=Cj0KEQjwmpW6BRCf5sXp59_U_ssBEiQAGCV9GhnIaBdlWoOEOO3qk732UNenLRy9n-_89llKWBnFodUaAsAr8P8HAQ</t>
  </si>
  <si>
    <t>Neuroblastoma tumor mass</t>
  </si>
  <si>
    <t>http://www.atcc.org/products/all/CCL-222.aspx</t>
  </si>
  <si>
    <t>http://www.sigmaaldrich.com/catalog/product/sigma/93052620?lang=en&amp;region=US</t>
  </si>
  <si>
    <t>http://www.atcc.org/products/all/CCL-213.aspx</t>
  </si>
  <si>
    <t>http://www.atcc.org/products/all/CRL-2020.aspx</t>
  </si>
  <si>
    <t>glioblastoma</t>
  </si>
  <si>
    <t>http://www.sigmaaldrich.com/catalog/product/sigma/92091712?lang=en&amp;region=US</t>
  </si>
  <si>
    <t>non-lymphoid leukemia </t>
  </si>
  <si>
    <t xml:space="preserve"> http://www.sigmaaldrich.com/catalog/product/sigma/99072808?lang=en&amp;region=US&amp;gclid=Cj0KEQjwmpW6BRCf5sXp59_U_ssBEiQAGCV9Ghl2nG2Jf1WquK23yFg8pYYN_hvqpNRTAUQCq9vYV1MaAvnu8P8HAQ</t>
  </si>
  <si>
    <t>follicular thyroid carcinoma</t>
  </si>
  <si>
    <t>http://www.sigmaaldrich.com/catalog/product/sigma/94060901?lang=en&amp;region=US</t>
  </si>
  <si>
    <t>http://www.atcc.org/products/all/CRL-1424.aspx</t>
  </si>
  <si>
    <t>http://www.atcc.org/products/all/CRL-1441.aspx</t>
  </si>
  <si>
    <t>http://www.atcc.org/products/all/CRL-1504.aspx</t>
  </si>
  <si>
    <t>http://www.atcc.org/products/all/CRL-1500.aspx</t>
  </si>
  <si>
    <t>http://www.atcc.org/products/all/HTB-18.aspx</t>
  </si>
  <si>
    <t>Retina</t>
  </si>
  <si>
    <t>http://www.atcc.org/products/all/CRL-1675.aspx</t>
  </si>
  <si>
    <t>http://www.atcc.org/products/all/CRL-1749.aspx</t>
  </si>
  <si>
    <t>Transitional cell carcinoma</t>
  </si>
  <si>
    <t>http://www.atcc.org/products/all/TIB-196.aspx</t>
  </si>
  <si>
    <t>Myeloma, plasmacytoma</t>
  </si>
  <si>
    <t>http://www.atcc.org/products/all/CCL-235.aspx</t>
  </si>
  <si>
    <t>Rectum</t>
  </si>
  <si>
    <t>grade IV, adenocarcinoma</t>
  </si>
  <si>
    <t>http://www.atcc.org/products/all/CCL-230.aspx</t>
  </si>
  <si>
    <t xml:space="preserve"> Dukes' type C, grade III, colorectal adenocarcinoma</t>
  </si>
  <si>
    <t>http://www.atcc.org/products/all/CCL-105.aspx</t>
  </si>
  <si>
    <t>grade IV,primary small cell carcinoma</t>
  </si>
  <si>
    <t>Duke's type C, grade III, colorectal adenocarcinoma</t>
  </si>
  <si>
    <t>http://www.atcc.org/products/all/CCL-237.aspx</t>
  </si>
  <si>
    <t>http://www.atcc.org/products/all/HTB-77.aspx</t>
  </si>
  <si>
    <t>http://www.atcc.org/products/all/HTB-58.aspx</t>
  </si>
  <si>
    <t>http://www.atcc.org/products/all/CRL-2139.aspx</t>
  </si>
  <si>
    <t>malignant primitive neuroectodermal tumor</t>
  </si>
  <si>
    <t>retroperitoneal embryonal tumor</t>
  </si>
  <si>
    <t>http://www.atcc.org/products/all/CRL-2142.aspx</t>
  </si>
  <si>
    <t>http://www.atcc.org/products/all/CRL-2149.aspx</t>
  </si>
  <si>
    <t>http://www.atcc.org/products/all/CRL-2271.aspx</t>
  </si>
  <si>
    <t>http://www.atcc.org/products/all/HTB-52.aspx</t>
  </si>
  <si>
    <t>http://www.sigmaaldrich.com/catalog/product/sigma/10021101?lang=en&amp;region=US</t>
  </si>
  <si>
    <t>http://www.atcc.org/products/all/CCL-155.aspx</t>
  </si>
  <si>
    <t>http://www.atcc.org/products/all/CCL-86.aspx</t>
  </si>
  <si>
    <t>http://www.sigmaaldrich.com/catalog/product/sigma/10032308?lang=en&amp;region=US</t>
  </si>
  <si>
    <t>https://ximbio.com/reagent/151679/pea2-cell-line</t>
  </si>
  <si>
    <t>http://www.sigmaaldrich.com/catalog/product/sigma/10032306?lang=en&amp;region=US</t>
  </si>
  <si>
    <t>http://www.sigmaaldrich.com/catalog/product/sigma/10112301?lang=en&amp;region=US</t>
  </si>
  <si>
    <t>Ascites</t>
  </si>
  <si>
    <t>http://www.atcc.org/products/all/HTB-62.aspx</t>
  </si>
  <si>
    <t>http://www.sigmaaldrich.com/catalog/product/sigma/10092313?lang=en&amp;region=US</t>
  </si>
  <si>
    <t>Pleural fluid</t>
  </si>
  <si>
    <t>Malignant mesothelioma</t>
  </si>
  <si>
    <t>http://www.atcc.org/products/all/CRL-5807.aspx</t>
  </si>
  <si>
    <t>http://www.atcc.org/products/all/CRL-1420.aspx</t>
  </si>
  <si>
    <t>http://www.sigmaaldrich.com/catalog/product/sigma/98031101?lang=en&amp;region=US</t>
  </si>
  <si>
    <t>http://www.atcc.org/products/all/HTB-65.aspx</t>
  </si>
  <si>
    <t>http://www.sigmaaldrich.com/catalog/product/sigma/10092302?lang=en&amp;region=US</t>
  </si>
  <si>
    <t>Merkel carcinoma</t>
  </si>
  <si>
    <t>Malignant mesthelioma</t>
  </si>
  <si>
    <t>http://www.sigmaaldrich.com/catalog/product/sigma/10092311?lang=en&amp;region=US</t>
  </si>
  <si>
    <t>http://www.sigmaaldrich.com/catalog/product/sigma/10092301?lang=en&amp;region=US</t>
  </si>
  <si>
    <t>http://www.sigmaaldrich.com/catalog/product/sigma/06041201?lang=en&amp;region=US</t>
  </si>
  <si>
    <t>neuroblastoma</t>
  </si>
  <si>
    <t>http://www.sigmaaldrich.com/catalog/product/sigma/94072011?lang=en&amp;region=US</t>
  </si>
  <si>
    <t>squamous cell carcinoma</t>
  </si>
  <si>
    <t xml:space="preserve">Oesophageal </t>
  </si>
  <si>
    <t>http://www.dspbio.co.jp/pdf/datasheet/EC94072015.pdf</t>
  </si>
  <si>
    <t>http://www.sigmaaldrich.com/catalog/product/sigma/92110411?lang=en&amp;region=US</t>
  </si>
  <si>
    <t>Neuronal</t>
  </si>
  <si>
    <t>http://www.atcc.org/products/all/CRL-3002.aspx</t>
  </si>
  <si>
    <t>Mantle Cell Lymphoma</t>
  </si>
  <si>
    <t>http://www.sigmaaldrich.com/catalog/product/sigma/10092309?lang=en&amp;region=US</t>
  </si>
  <si>
    <t>Malignant mesothelioma </t>
  </si>
  <si>
    <t>http://www.atcc.org/products/all/CCL-87.aspx</t>
  </si>
  <si>
    <t>Lymphocyte</t>
  </si>
  <si>
    <t>http://www.atcc.org/products/all/CRL-1472.aspx</t>
  </si>
  <si>
    <t>grade 3, carcinoma</t>
  </si>
  <si>
    <t>http://www.atcc.org/products/all/CRL-1484.aspx#history</t>
  </si>
  <si>
    <t>http://www.sigmaaldrich.com/catalog/product/sigma/09071517?lang=en&amp;region=US</t>
  </si>
  <si>
    <t>http://www.sigmaaldrich.com/catalog/product/sigma/95091409?lang=en&amp;region=US</t>
  </si>
  <si>
    <t>palatal mesenchyme</t>
  </si>
  <si>
    <t>http://www.atcc.org/products/all/CRL-1486.aspx</t>
  </si>
  <si>
    <t>http://www.atcc.org/products/all/CCL-23.aspx#generalinformation</t>
  </si>
  <si>
    <t>http://www.atcc.org/products/all/CCL-2.1.aspx#history</t>
  </si>
  <si>
    <t>http://www.atcc.org/products/all/CCL-225.aspx</t>
  </si>
  <si>
    <t>Dukes' type C, colorectal adenocarcinoma</t>
  </si>
  <si>
    <t>http://www.sigmaaldrich.com/catalog/product/sigma/06061901?lang=en&amp;region=US</t>
  </si>
  <si>
    <t>http://www.sigmaaldrich.com/catalog/product/sigma/06092005?lang=en&amp;region=US</t>
  </si>
  <si>
    <t>Thorax</t>
  </si>
  <si>
    <t>http://www.sigmaaldrich.com/catalog/product/sigma/95032301?lang=en&amp;region=US</t>
  </si>
  <si>
    <t>http://www.sigmaaldrich.com/catalog/product/sigma/01051619?lang=en&amp;region=US</t>
  </si>
  <si>
    <t>http://www.sigmaaldrich.com/catalog/product/sigma/10021102?lang=en&amp;region=US</t>
  </si>
  <si>
    <t>http://www.sigmaaldrich.com/catalog/product/sigma/84121902?lang=en&amp;region=US</t>
  </si>
  <si>
    <t>http://www.sigmaaldrich.com/catalog/product/sigma/93112519?lang=en&amp;region=US</t>
  </si>
  <si>
    <t>http://www.sigmaaldrich.com/catalog/product/sigma/06092004?lang=en&amp;region=US</t>
  </si>
  <si>
    <t>http://www.atcc.org/products/all/CRL-1611.aspx</t>
  </si>
  <si>
    <t>http://www.sigmaaldrich.com/catalog/product/sigma/95091902?lang=en&amp;region=US</t>
  </si>
  <si>
    <t>http://www.sigmaaldrich.com/catalog/product/sigma/86030402?lang=en&amp;region=US&amp;gclid=Cj0KEQjw0dy4BRCuuL_e5MeqmNABEiQAq8iNIx3V4b3-RieoHvnqOTZ8HYpBTLX5zKPJlr4gjCa-YaEaAg_28P8HAQ</t>
  </si>
  <si>
    <t>http://www.atcc.org/products/all/CCL-244.aspx</t>
  </si>
  <si>
    <t>http://www.atcc.org/products/all/CRL-1620.aspx</t>
  </si>
  <si>
    <t>http://www.sigmaaldrich.com/catalog/product/sigma/94042252?lang=en&amp;region=US</t>
  </si>
  <si>
    <t>http://www.atcc.org/products/all/CRL-11147.aspx#history</t>
  </si>
  <si>
    <t>http://www.atcc.org/products/all/CRL-1739.aspx#history</t>
  </si>
  <si>
    <t>http://www.atcc.org/products/all/CRL-1682.aspx</t>
  </si>
  <si>
    <t>http://www.atcc.org/products/all/CCL-21.aspx#history</t>
  </si>
  <si>
    <t>http://www.atcc.org/products/all/CCL-98.aspx#history</t>
  </si>
  <si>
    <t>http://www.sigmaaldrich.com/catalog/product/sigma/05070501?lang=en&amp;region=US</t>
  </si>
  <si>
    <t>http://www.atcc.org/products/all/CRL-1687.aspx</t>
  </si>
  <si>
    <t>http://www.atcc.org/products/all/CRL-1579.aspx#history</t>
  </si>
  <si>
    <t>http://www.atcc.org/products/all/CRL-1550.aspx</t>
  </si>
  <si>
    <t>http://www.atcc.org/products/all/CRL-1648.aspx</t>
  </si>
  <si>
    <t>http://www.atcc.org/products/all/CCL-138.aspx#history</t>
  </si>
  <si>
    <t>http://www.atcc.org/products/all/CCL-221.aspx#history</t>
  </si>
  <si>
    <t xml:space="preserve"> Dukes' type C, colorectal adenocarcinoma</t>
  </si>
  <si>
    <t>http://www.atcc.org/products/all/CCL-85.aspx</t>
  </si>
  <si>
    <t>http://www.sigmaaldrich.com/catalog/product/sigma/95091901?lang=en&amp;region=US</t>
  </si>
  <si>
    <t>http://www.sigmaaldrich.com/catalog/product/sigma/07030901?lang=en&amp;region=US</t>
  </si>
  <si>
    <t>http://www.atcc.org/products/all/HTB-119.aspx</t>
  </si>
  <si>
    <t>http://www.sigmaaldrich.com/catalog/product/sigma/02091238?lang=en&amp;region=US</t>
  </si>
  <si>
    <t>Lymphoma</t>
  </si>
  <si>
    <t>Gen#</t>
  </si>
  <si>
    <t>Eth#</t>
  </si>
  <si>
    <t>http://www.sigmaaldrich.com/catalog/product/sigma/95031024?lang=en&amp;region=US</t>
  </si>
  <si>
    <t>http://www.atcc.org/products/all/CRL-2099.aspx</t>
  </si>
  <si>
    <t>http://www.ncbi.nlm.nih.gov/pmc/articles/PMC332340/</t>
  </si>
  <si>
    <t>Mucosal lining</t>
  </si>
  <si>
    <t>http://www.atcc.org/products/all/CRL-2003.aspx</t>
  </si>
  <si>
    <t>http://www.atcc.org/products/all/CCL-2.aspx</t>
  </si>
  <si>
    <t>http://www.atcc.org/products/all/HTB-24.aspx</t>
  </si>
  <si>
    <t>http://www.atcc.org/products/all/CCL-5.aspx#history</t>
  </si>
  <si>
    <t>Embyonic</t>
  </si>
  <si>
    <t>http://www.atcc.org/products/all/HTB-126.aspx</t>
  </si>
  <si>
    <t>Hs578BsT</t>
  </si>
  <si>
    <t>http://www.atcc.org/products/all/HTB-125.aspx</t>
  </si>
  <si>
    <t>http://www.atcc.org/products/all/HTB-38.aspx</t>
  </si>
  <si>
    <t>http://www.atcc.org/products/all/CL-188.aspx</t>
  </si>
  <si>
    <t>http://www.atcc.org/products/all/CL-187.aspx</t>
  </si>
  <si>
    <t>http://www.atcc.org/products/all/HTB-26.aspx</t>
  </si>
  <si>
    <t>http://www.atcc.org/products/all/CRL-1976.aspx</t>
  </si>
  <si>
    <t>http://www.sigmaaldrich.com/catalog/product/sigma/96070808?lang=en&amp;region=US</t>
  </si>
  <si>
    <t>http://www.atcc.org/products/all/CCL-231.aspx</t>
  </si>
  <si>
    <t>http://www.atcc.org/products/all/TIB-161.aspx</t>
  </si>
  <si>
    <t>http://www.atcc.org/products/all/CCL-248.aspx</t>
  </si>
  <si>
    <t>http://www.sigmaaldrich.com/catalog/product/sigma/96090513?lang=en&amp;region=US</t>
  </si>
  <si>
    <t>http://www.atcc.org/products/all/CRL-1596.aspx</t>
  </si>
  <si>
    <t>http://www.atcc.org/products/all/HTB-103.aspx</t>
  </si>
  <si>
    <t>http://www.atcc.org/products/all/HTB-36.aspx</t>
  </si>
  <si>
    <t>http://www.atcc.org/products/all/CCL-229.aspx#characteristics</t>
  </si>
  <si>
    <t>http://www.sigmaaldrich.com/catalog/product/sigma/84112312?lang=en&amp;region=US</t>
  </si>
  <si>
    <t>http://www.sigmaaldrich.com/catalog/product/sigma/90071810?lang=en&amp;region=US</t>
  </si>
  <si>
    <t>http://www.sigmaaldrich.com/catalog/product/sigma/94090184?lang=en&amp;region=US</t>
  </si>
  <si>
    <t>http://www.atcc.org/products/all/CRL-1432.aspx</t>
  </si>
  <si>
    <t>http://www.atcc.org/products/all/CRL-2266.aspx</t>
  </si>
  <si>
    <t>http://www.atcc.org/products/all/CRL-1848.aspx#history</t>
  </si>
  <si>
    <t>http://www.ncbi.nlm.nih.gov/pmc/articles/PMC386682/</t>
  </si>
  <si>
    <t>http://www.atcc.org/products/all/CCL-218.aspx</t>
  </si>
  <si>
    <t>http://www.atcc.org/products/all/CRL-1942.aspx</t>
  </si>
  <si>
    <t>http://www.atcc.org/products/all/CRL-1973.aspx#history</t>
  </si>
  <si>
    <t>http://www.sigmaaldrich.com/catalog/product/sigma/09111801?lang=en&amp;region=US</t>
  </si>
  <si>
    <t>http://www.atcc.org/products/all/CRL-2279.aspx</t>
  </si>
  <si>
    <t>http://www.atcc.org/products/all/CRL-1593.2.aspx#history</t>
  </si>
  <si>
    <t>http://www.atcc.org/products/all/CRL-2138.aspx</t>
  </si>
  <si>
    <t>http://www.atcc.org/products/all/CCL-228.aspx</t>
  </si>
  <si>
    <t>http://www.atcc.org/products/all/CCL-227.aspx#history</t>
  </si>
  <si>
    <t>http://www.sigmaaldrich.com/catalog/product/sigma/92030501?lang=en&amp;region=US</t>
  </si>
  <si>
    <t>http://www.atcc.org/products/all/CCL-246.aspx</t>
  </si>
  <si>
    <t>http://www.atcc.org/products/all/CRL-1690.aspx</t>
  </si>
  <si>
    <t>http://www.atcc.org/products/all/HTB-2.aspx</t>
  </si>
  <si>
    <t>http://www.sigmaaldrich.com/catalog/product/sigma/99072802?lang=en&amp;region=US</t>
  </si>
  <si>
    <t>http://www.atcc.org/products/all/CRL-1582.aspx#history</t>
  </si>
  <si>
    <t>http://www.atcc.org/products/all/CRL-1629.aspx</t>
  </si>
  <si>
    <t>http://www.atcc.org/products/all/CRL-2021.aspx</t>
  </si>
  <si>
    <t>http://www.sigmaaldrich.com/catalog/product/sigma/85061104?lang=en&amp;region=US</t>
  </si>
  <si>
    <t>http://www.atcc.org/products/all/CRL-1990.aspx</t>
  </si>
  <si>
    <t>http://www.sigmaaldrich.com/catalog/product/sigma/89071904?lang=en&amp;region=US</t>
  </si>
  <si>
    <t>Cystic fibrosis</t>
  </si>
  <si>
    <t>Colon cancer</t>
  </si>
  <si>
    <t>Lung cancer</t>
  </si>
  <si>
    <t>Breast cancer</t>
  </si>
  <si>
    <t>Pancreas cancer</t>
  </si>
  <si>
    <t>Kidney cancer</t>
  </si>
  <si>
    <t>Mouth cancer</t>
  </si>
  <si>
    <t>Cervix cancer</t>
  </si>
  <si>
    <t>Uterine cancer</t>
  </si>
  <si>
    <t>Thyroid cancer</t>
  </si>
  <si>
    <t>Stomach cancer</t>
  </si>
  <si>
    <t>Brain cancer</t>
  </si>
  <si>
    <t>Rectum cancer</t>
  </si>
  <si>
    <t>Liver disease</t>
  </si>
  <si>
    <t>Ovarian cancer</t>
  </si>
  <si>
    <t>DisSHORT</t>
  </si>
  <si>
    <t>Dis#</t>
  </si>
  <si>
    <t>Bladder cancer</t>
  </si>
  <si>
    <t>Mouth Cancer</t>
  </si>
  <si>
    <t>Adrenal Gland</t>
  </si>
  <si>
    <t>Lung Cancer</t>
  </si>
  <si>
    <t>Leukemia, Lymphoma</t>
  </si>
  <si>
    <t>Bladder Cancer</t>
  </si>
  <si>
    <t>Brain Cancer</t>
  </si>
  <si>
    <t>Colon Cancer</t>
  </si>
  <si>
    <t>Fibroblast</t>
  </si>
  <si>
    <t>Breast Cancer</t>
  </si>
  <si>
    <t>Pancreatic + Liver Disease</t>
  </si>
  <si>
    <t>Stomach Cancer</t>
  </si>
  <si>
    <t>Prostate + Testis Cancer</t>
  </si>
  <si>
    <t>Ovarian, Uterine + Vaginal Cancer</t>
  </si>
  <si>
    <t>Embryonic Tissue</t>
  </si>
  <si>
    <t>Cervical Cancer</t>
  </si>
  <si>
    <t>Other (Muscle, Connective Tissue, Retina)</t>
  </si>
  <si>
    <t>Muscle + Connective Tissue + Fibro</t>
  </si>
  <si>
    <t>Misc</t>
  </si>
  <si>
    <t>http://www.atcc.org/products/all/CRL-9068.aspx</t>
  </si>
  <si>
    <t xml:space="preserve"> http://www.cellbankaustralia.com/mfe-280.html</t>
  </si>
  <si>
    <t>http://www.cellbankaustralia.com/psn1.html</t>
  </si>
  <si>
    <t>http://www.atcc.org/products/all/CRL-8024.aspx</t>
  </si>
  <si>
    <t>http://www.ncbi.nlm.nih.gov/pubmed/136873</t>
  </si>
  <si>
    <t>Count Patent</t>
  </si>
  <si>
    <t>http://www.sigmaaldrich.com/catalog/product/sigma/99040201?lang=en&amp;region=US</t>
  </si>
  <si>
    <t>Prostate Cancer</t>
  </si>
  <si>
    <t>Uterine Cancer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</si>
</sst>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Arial"/>
    </font>
    <font>
      <sz val="11"/>
      <name val="Arial"/>
    </font>
    <font>
      <sz val="11"/>
      <color rgb="FF333333"/>
      <name val="Helvetica"/>
    </font>
    <font>
      <sz val="11"/>
      <color rgb="FF444444"/>
      <name val="Arial"/>
    </font>
    <font>
      <sz val="11"/>
      <color rgb="FF665E58"/>
      <name val="Arial"/>
    </font>
    <font>
      <sz val="13"/>
      <color rgb="FF444444"/>
      <name val="Arial"/>
    </font>
    <font>
      <sz val="13"/>
      <color rgb="FF444444"/>
      <name val="Inherit"/>
    </font>
    <font>
      <sz val="12"/>
      <color rgb="FF665E58"/>
      <name val="Arial"/>
    </font>
    <font>
      <b/>
      <sz val="12"/>
      <color rgb="FF4F4A46"/>
      <name val="Aria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9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2" xfId="0" applyFont="1" applyFill="1" applyBorder="1" applyAlignment="1">
      <alignment vertical="top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/>
    <xf numFmtId="0" fontId="2" fillId="0" borderId="3" xfId="0" applyFont="1" applyFill="1" applyBorder="1" applyAlignment="1"/>
    <xf numFmtId="0" fontId="1" fillId="0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/>
    <xf numFmtId="0" fontId="3" fillId="0" borderId="5" xfId="0" applyFont="1" applyFill="1" applyBorder="1"/>
    <xf numFmtId="0" fontId="0" fillId="0" borderId="0" xfId="0" applyFill="1" applyAlignment="1">
      <alignment horizontal="center"/>
    </xf>
    <xf numFmtId="0" fontId="4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7" fillId="0" borderId="0" xfId="0" applyFont="1" applyFill="1" applyBorder="1"/>
    <xf numFmtId="0" fontId="9" fillId="0" borderId="0" xfId="0" applyFont="1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69" applyFill="1"/>
    <xf numFmtId="0" fontId="3" fillId="0" borderId="0" xfId="0" applyFont="1" applyFill="1"/>
    <xf numFmtId="0" fontId="2" fillId="0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1" fillId="0" borderId="0" xfId="69"/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igmaaldrich.com/catalog/product/sigma/01051619?lang=en&amp;region=US" TargetMode="External"/><Relationship Id="rId2" Type="http://schemas.openxmlformats.org/officeDocument/2006/relationships/hyperlink" Target="http://www.sigmaaldrich.com/catalog/product/sigma/84121902?lang=en&amp;region=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01"/>
  <sheetViews>
    <sheetView tabSelected="1" zoomScale="86" workbookViewId="0">
      <pane ySplit="24" topLeftCell="A158" activePane="bottomLeft" state="frozen"/>
      <selection pane="bottomLeft" activeCell="D160" sqref="D160"/>
    </sheetView>
  </sheetViews>
  <sheetFormatPr baseColWidth="10" defaultRowHeight="16" x14ac:dyDescent="0.2"/>
  <cols>
    <col min="1" max="1" width="7.5" customWidth="1"/>
    <col min="2" max="2" width="9.83203125" customWidth="1"/>
    <col min="3" max="4" width="8" style="6" customWidth="1"/>
    <col min="5" max="5" width="5.83203125" style="6" customWidth="1"/>
    <col min="6" max="6" width="10.1640625" style="6" customWidth="1"/>
    <col min="7" max="7" width="17.1640625" style="6" customWidth="1"/>
    <col min="8" max="8" width="5.6640625" style="7" customWidth="1"/>
    <col min="9" max="9" width="5.6640625" style="23" customWidth="1"/>
    <col min="10" max="10" width="8.6640625" style="8" customWidth="1"/>
    <col min="11" max="11" width="3.1640625" style="8" customWidth="1"/>
    <col min="12" max="12" width="10.83203125" style="9"/>
    <col min="13" max="15" width="5.83203125" style="10" customWidth="1"/>
    <col min="16" max="16" width="5.33203125" style="10" customWidth="1"/>
    <col min="17" max="17" width="4.1640625" customWidth="1"/>
    <col min="18" max="18" width="2" customWidth="1"/>
    <col min="19" max="19" width="4.83203125" customWidth="1"/>
    <col min="21" max="21" width="2" customWidth="1"/>
    <col min="22" max="22" width="7.5" customWidth="1"/>
    <col min="23" max="23" width="20.6640625" customWidth="1"/>
  </cols>
  <sheetData>
    <row r="1" spans="1:24" ht="17" thickBot="1" x14ac:dyDescent="0.25">
      <c r="A1" t="s">
        <v>199</v>
      </c>
      <c r="B1" t="s">
        <v>0</v>
      </c>
      <c r="C1" s="1" t="s">
        <v>200</v>
      </c>
      <c r="D1" s="1" t="s">
        <v>201</v>
      </c>
      <c r="E1" s="1" t="s">
        <v>552</v>
      </c>
      <c r="F1" s="1" t="s">
        <v>551</v>
      </c>
      <c r="G1" s="1" t="s">
        <v>202</v>
      </c>
      <c r="H1" s="2" t="s">
        <v>203</v>
      </c>
      <c r="I1" s="22" t="s">
        <v>481</v>
      </c>
      <c r="J1" s="3" t="s">
        <v>204</v>
      </c>
      <c r="K1" s="3" t="s">
        <v>482</v>
      </c>
      <c r="L1" s="4" t="s">
        <v>205</v>
      </c>
      <c r="M1" s="5" t="s">
        <v>206</v>
      </c>
      <c r="N1" s="24" t="str">
        <f t="shared" ref="N1" si="0">A1</f>
        <v>Count</v>
      </c>
      <c r="O1" s="24" t="str">
        <f t="shared" ref="O1" si="1">E1</f>
        <v>Dis#</v>
      </c>
      <c r="P1" s="24" t="s">
        <v>577</v>
      </c>
      <c r="R1" t="s">
        <v>207</v>
      </c>
      <c r="T1" t="s">
        <v>202</v>
      </c>
      <c r="U1" t="s">
        <v>207</v>
      </c>
      <c r="W1" t="s">
        <v>202</v>
      </c>
    </row>
    <row r="2" spans="1:24" ht="17" thickTop="1" x14ac:dyDescent="0.2">
      <c r="A2">
        <v>1</v>
      </c>
      <c r="B2" t="s">
        <v>164</v>
      </c>
      <c r="C2" s="6" t="s">
        <v>222</v>
      </c>
      <c r="D2" s="6" t="s">
        <v>326</v>
      </c>
      <c r="E2" s="6">
        <v>1</v>
      </c>
      <c r="F2" s="6" t="s">
        <v>542</v>
      </c>
      <c r="G2" s="6" t="s">
        <v>257</v>
      </c>
      <c r="H2" s="7">
        <v>72</v>
      </c>
      <c r="I2" s="23">
        <v>2</v>
      </c>
      <c r="J2" s="8" t="s">
        <v>214</v>
      </c>
      <c r="K2" s="8">
        <v>3</v>
      </c>
      <c r="L2" s="9" t="s">
        <v>212</v>
      </c>
      <c r="M2" s="10">
        <v>1993</v>
      </c>
      <c r="N2" s="10">
        <f>A2</f>
        <v>1</v>
      </c>
      <c r="O2" s="24">
        <f>E2</f>
        <v>1</v>
      </c>
      <c r="P2" s="24"/>
      <c r="R2" t="s">
        <v>207</v>
      </c>
      <c r="S2">
        <v>1</v>
      </c>
      <c r="T2" t="s">
        <v>554</v>
      </c>
      <c r="U2" t="s">
        <v>207</v>
      </c>
      <c r="V2">
        <f>S2</f>
        <v>1</v>
      </c>
      <c r="W2" t="s">
        <v>300</v>
      </c>
    </row>
    <row r="3" spans="1:24" x14ac:dyDescent="0.2">
      <c r="A3">
        <v>5</v>
      </c>
      <c r="B3" t="s">
        <v>153</v>
      </c>
      <c r="C3" s="6" t="s">
        <v>308</v>
      </c>
      <c r="E3" s="6">
        <v>1</v>
      </c>
      <c r="G3" s="6" t="s">
        <v>361</v>
      </c>
      <c r="H3" s="7">
        <v>55</v>
      </c>
      <c r="I3" s="23">
        <v>1</v>
      </c>
      <c r="J3" s="8" t="s">
        <v>211</v>
      </c>
      <c r="K3" s="8">
        <v>3</v>
      </c>
      <c r="L3" s="9" t="s">
        <v>212</v>
      </c>
      <c r="M3" s="10">
        <v>1971</v>
      </c>
      <c r="N3" s="10">
        <f>A3</f>
        <v>5</v>
      </c>
      <c r="O3" s="24">
        <f>E3</f>
        <v>1</v>
      </c>
      <c r="P3" s="24"/>
      <c r="Q3" t="s">
        <v>388</v>
      </c>
      <c r="R3" t="s">
        <v>207</v>
      </c>
      <c r="S3">
        <v>2</v>
      </c>
      <c r="T3" t="s">
        <v>555</v>
      </c>
      <c r="U3" t="s">
        <v>207</v>
      </c>
      <c r="V3">
        <f>V2+1</f>
        <v>2</v>
      </c>
      <c r="W3" t="s">
        <v>559</v>
      </c>
    </row>
    <row r="4" spans="1:24" x14ac:dyDescent="0.2">
      <c r="A4">
        <v>5</v>
      </c>
      <c r="B4" t="s">
        <v>123</v>
      </c>
      <c r="C4" s="6" t="s">
        <v>308</v>
      </c>
      <c r="E4" s="6">
        <v>1</v>
      </c>
      <c r="G4" s="6" t="s">
        <v>305</v>
      </c>
      <c r="H4" s="7">
        <v>2</v>
      </c>
      <c r="I4" s="23">
        <v>2</v>
      </c>
      <c r="J4" s="8" t="s">
        <v>214</v>
      </c>
      <c r="K4" s="8">
        <v>4</v>
      </c>
      <c r="M4" s="10">
        <v>1976</v>
      </c>
      <c r="N4" s="10">
        <f>A4</f>
        <v>5</v>
      </c>
      <c r="O4" s="10">
        <f>E4</f>
        <v>1</v>
      </c>
      <c r="Q4" t="s">
        <v>360</v>
      </c>
      <c r="R4" t="s">
        <v>340</v>
      </c>
      <c r="S4">
        <v>3</v>
      </c>
      <c r="T4" t="s">
        <v>563</v>
      </c>
      <c r="U4" t="s">
        <v>207</v>
      </c>
      <c r="V4">
        <f t="shared" ref="V4:V5" si="2">V3+1</f>
        <v>3</v>
      </c>
      <c r="W4" t="s">
        <v>562</v>
      </c>
    </row>
    <row r="5" spans="1:24" x14ac:dyDescent="0.2">
      <c r="A5">
        <v>21</v>
      </c>
      <c r="B5" t="s">
        <v>41</v>
      </c>
      <c r="C5" s="6" t="s">
        <v>285</v>
      </c>
      <c r="E5" s="6">
        <v>1</v>
      </c>
      <c r="F5" s="6" t="s">
        <v>549</v>
      </c>
      <c r="G5" s="6" t="s">
        <v>265</v>
      </c>
      <c r="H5" s="7">
        <v>-10</v>
      </c>
      <c r="I5" s="23">
        <v>3</v>
      </c>
      <c r="J5" s="8" t="s">
        <v>228</v>
      </c>
      <c r="K5" s="8">
        <v>4</v>
      </c>
      <c r="L5" s="9" t="s">
        <v>228</v>
      </c>
      <c r="M5" s="23">
        <v>1988</v>
      </c>
      <c r="N5" s="10">
        <f>A5</f>
        <v>21</v>
      </c>
      <c r="O5" s="24">
        <f>E5</f>
        <v>1</v>
      </c>
      <c r="P5" s="24"/>
      <c r="Q5" t="s">
        <v>575</v>
      </c>
      <c r="R5" t="s">
        <v>207</v>
      </c>
      <c r="S5">
        <v>4</v>
      </c>
      <c r="T5" t="s">
        <v>556</v>
      </c>
      <c r="U5" t="s">
        <v>207</v>
      </c>
      <c r="V5">
        <f t="shared" si="2"/>
        <v>4</v>
      </c>
      <c r="W5" t="s">
        <v>557</v>
      </c>
      <c r="X5" t="s">
        <v>207</v>
      </c>
    </row>
    <row r="6" spans="1:24" ht="17" x14ac:dyDescent="0.2">
      <c r="A6">
        <v>8</v>
      </c>
      <c r="B6" t="s">
        <v>73</v>
      </c>
      <c r="C6" s="6" t="s">
        <v>303</v>
      </c>
      <c r="E6" s="6">
        <v>1</v>
      </c>
      <c r="F6" s="6" t="s">
        <v>210</v>
      </c>
      <c r="G6" s="17" t="s">
        <v>437</v>
      </c>
      <c r="H6" s="7">
        <v>1</v>
      </c>
      <c r="I6" s="23">
        <v>1</v>
      </c>
      <c r="J6" s="8" t="s">
        <v>211</v>
      </c>
      <c r="K6" s="8">
        <v>1</v>
      </c>
      <c r="L6" s="9" t="s">
        <v>239</v>
      </c>
      <c r="M6" s="10">
        <v>1990</v>
      </c>
      <c r="N6" s="10">
        <f>A6</f>
        <v>8</v>
      </c>
      <c r="O6" s="24">
        <f>E6</f>
        <v>1</v>
      </c>
      <c r="P6" s="24"/>
      <c r="Q6" t="s">
        <v>367</v>
      </c>
      <c r="R6" t="s">
        <v>207</v>
      </c>
      <c r="S6">
        <v>5</v>
      </c>
      <c r="T6" t="s">
        <v>557</v>
      </c>
      <c r="U6" t="s">
        <v>207</v>
      </c>
      <c r="V6">
        <v>5</v>
      </c>
      <c r="W6" t="s">
        <v>556</v>
      </c>
    </row>
    <row r="7" spans="1:24" x14ac:dyDescent="0.2">
      <c r="A7">
        <v>2</v>
      </c>
      <c r="B7" t="s">
        <v>133</v>
      </c>
      <c r="C7" s="6" t="s">
        <v>303</v>
      </c>
      <c r="E7" s="6">
        <v>1</v>
      </c>
      <c r="F7" s="6" t="s">
        <v>553</v>
      </c>
      <c r="G7" s="6" t="s">
        <v>210</v>
      </c>
      <c r="H7" s="7">
        <v>58</v>
      </c>
      <c r="I7" s="23">
        <v>1</v>
      </c>
      <c r="J7" s="8" t="s">
        <v>211</v>
      </c>
      <c r="K7" s="8">
        <v>3</v>
      </c>
      <c r="L7" s="9" t="s">
        <v>212</v>
      </c>
      <c r="M7" s="10">
        <v>1977</v>
      </c>
      <c r="N7" s="10">
        <f>A7</f>
        <v>2</v>
      </c>
      <c r="O7" s="24">
        <f>E7</f>
        <v>1</v>
      </c>
      <c r="P7" s="24"/>
      <c r="Q7" t="s">
        <v>436</v>
      </c>
      <c r="R7" t="s">
        <v>207</v>
      </c>
      <c r="S7">
        <v>6</v>
      </c>
      <c r="T7" t="s">
        <v>558</v>
      </c>
      <c r="U7" t="s">
        <v>207</v>
      </c>
      <c r="V7">
        <v>6</v>
      </c>
      <c r="W7" t="s">
        <v>579</v>
      </c>
    </row>
    <row r="8" spans="1:24" x14ac:dyDescent="0.2">
      <c r="A8">
        <v>12</v>
      </c>
      <c r="B8" t="s">
        <v>52</v>
      </c>
      <c r="C8" s="11" t="s">
        <v>292</v>
      </c>
      <c r="D8" s="11"/>
      <c r="E8" s="6">
        <v>1</v>
      </c>
      <c r="F8" s="11"/>
      <c r="G8" s="6" t="s">
        <v>293</v>
      </c>
      <c r="H8" s="7">
        <v>84</v>
      </c>
      <c r="I8" s="23">
        <v>2</v>
      </c>
      <c r="J8" s="8" t="s">
        <v>214</v>
      </c>
      <c r="K8" s="8">
        <v>4</v>
      </c>
      <c r="L8" s="9" t="s">
        <v>228</v>
      </c>
      <c r="M8" s="10">
        <v>1990</v>
      </c>
      <c r="N8" s="10">
        <f>A8</f>
        <v>12</v>
      </c>
      <c r="O8" s="10">
        <f>E8</f>
        <v>1</v>
      </c>
      <c r="Q8" t="s">
        <v>477</v>
      </c>
      <c r="R8" t="s">
        <v>207</v>
      </c>
      <c r="S8">
        <v>7</v>
      </c>
      <c r="T8" t="s">
        <v>559</v>
      </c>
      <c r="U8" t="s">
        <v>207</v>
      </c>
      <c r="V8">
        <v>7</v>
      </c>
      <c r="W8" t="s">
        <v>580</v>
      </c>
    </row>
    <row r="9" spans="1:24" x14ac:dyDescent="0.2">
      <c r="A9">
        <f>12+3+6</f>
        <v>21</v>
      </c>
      <c r="B9" t="s">
        <v>53</v>
      </c>
      <c r="C9" s="6" t="s">
        <v>221</v>
      </c>
      <c r="E9" s="6">
        <v>1</v>
      </c>
      <c r="F9" s="6" t="s">
        <v>222</v>
      </c>
      <c r="G9" s="6" t="s">
        <v>222</v>
      </c>
      <c r="H9" s="7">
        <v>31</v>
      </c>
      <c r="I9" s="23">
        <v>1</v>
      </c>
      <c r="J9" s="8" t="s">
        <v>211</v>
      </c>
      <c r="K9" s="8">
        <v>2</v>
      </c>
      <c r="L9" s="9" t="s">
        <v>220</v>
      </c>
      <c r="M9" s="10">
        <v>1985</v>
      </c>
      <c r="N9" s="10">
        <f>A9</f>
        <v>21</v>
      </c>
      <c r="O9" s="24">
        <f>E9</f>
        <v>1</v>
      </c>
      <c r="P9" s="24"/>
      <c r="Q9" t="s">
        <v>444</v>
      </c>
      <c r="R9" t="s">
        <v>207</v>
      </c>
      <c r="S9">
        <v>8</v>
      </c>
      <c r="T9" t="s">
        <v>568</v>
      </c>
      <c r="U9" t="s">
        <v>207</v>
      </c>
      <c r="V9">
        <v>100</v>
      </c>
      <c r="W9" t="s">
        <v>571</v>
      </c>
    </row>
    <row r="10" spans="1:24" x14ac:dyDescent="0.2">
      <c r="A10">
        <v>1</v>
      </c>
      <c r="B10" t="s">
        <v>159</v>
      </c>
      <c r="C10" s="6" t="s">
        <v>221</v>
      </c>
      <c r="E10" s="6">
        <v>1</v>
      </c>
      <c r="F10" s="6" t="s">
        <v>222</v>
      </c>
      <c r="G10" s="6" t="s">
        <v>222</v>
      </c>
      <c r="H10" s="7">
        <v>31</v>
      </c>
      <c r="I10" s="23">
        <v>1</v>
      </c>
      <c r="J10" s="8" t="s">
        <v>211</v>
      </c>
      <c r="K10" s="8">
        <v>2</v>
      </c>
      <c r="L10" s="9" t="s">
        <v>220</v>
      </c>
      <c r="M10" s="10">
        <v>1985</v>
      </c>
      <c r="N10" s="10">
        <f>A10</f>
        <v>1</v>
      </c>
      <c r="O10" s="24">
        <f>E10</f>
        <v>1</v>
      </c>
      <c r="P10" s="24"/>
      <c r="Q10" t="s">
        <v>444</v>
      </c>
      <c r="R10" t="s">
        <v>207</v>
      </c>
      <c r="S10">
        <v>9</v>
      </c>
      <c r="T10" t="s">
        <v>560</v>
      </c>
      <c r="U10" t="s">
        <v>207</v>
      </c>
      <c r="W10" t="s">
        <v>207</v>
      </c>
    </row>
    <row r="11" spans="1:24" x14ac:dyDescent="0.2">
      <c r="A11">
        <f>764+1</f>
        <v>765</v>
      </c>
      <c r="B11" t="s">
        <v>1</v>
      </c>
      <c r="C11" s="6" t="s">
        <v>221</v>
      </c>
      <c r="E11" s="6">
        <v>1</v>
      </c>
      <c r="F11" s="6" t="s">
        <v>222</v>
      </c>
      <c r="G11" s="6" t="s">
        <v>302</v>
      </c>
      <c r="H11" s="7">
        <v>31</v>
      </c>
      <c r="I11" s="23">
        <v>1</v>
      </c>
      <c r="J11" s="8" t="s">
        <v>211</v>
      </c>
      <c r="K11" s="8">
        <v>2</v>
      </c>
      <c r="L11" s="9" t="s">
        <v>220</v>
      </c>
      <c r="M11" s="10">
        <v>1951</v>
      </c>
      <c r="N11" s="10">
        <f>A11</f>
        <v>765</v>
      </c>
      <c r="O11" s="24">
        <f>E11</f>
        <v>1</v>
      </c>
      <c r="P11" s="24"/>
      <c r="Q11" t="s">
        <v>488</v>
      </c>
      <c r="R11" t="s">
        <v>207</v>
      </c>
      <c r="S11">
        <v>10</v>
      </c>
      <c r="T11" t="s">
        <v>570</v>
      </c>
      <c r="U11" t="s">
        <v>207</v>
      </c>
      <c r="W11" t="s">
        <v>207</v>
      </c>
    </row>
    <row r="12" spans="1:24" ht="17" x14ac:dyDescent="0.2">
      <c r="A12">
        <v>4</v>
      </c>
      <c r="B12" t="s">
        <v>98</v>
      </c>
      <c r="C12" s="6" t="s">
        <v>221</v>
      </c>
      <c r="E12" s="6">
        <v>1</v>
      </c>
      <c r="F12" s="6" t="s">
        <v>543</v>
      </c>
      <c r="G12" s="6" t="s">
        <v>302</v>
      </c>
      <c r="H12" s="7">
        <v>31</v>
      </c>
      <c r="I12" s="23">
        <v>1</v>
      </c>
      <c r="J12" s="8" t="s">
        <v>211</v>
      </c>
      <c r="K12" s="8">
        <v>2</v>
      </c>
      <c r="L12" s="9" t="s">
        <v>220</v>
      </c>
      <c r="M12" s="10">
        <v>1954</v>
      </c>
      <c r="N12" s="10">
        <f>A12</f>
        <v>4</v>
      </c>
      <c r="O12" s="24">
        <f>E12</f>
        <v>1</v>
      </c>
      <c r="P12" s="24"/>
      <c r="Q12" s="17" t="s">
        <v>443</v>
      </c>
      <c r="R12" t="s">
        <v>207</v>
      </c>
      <c r="S12">
        <v>11</v>
      </c>
      <c r="T12" t="s">
        <v>567</v>
      </c>
      <c r="U12" t="s">
        <v>207</v>
      </c>
    </row>
    <row r="13" spans="1:24" x14ac:dyDescent="0.2">
      <c r="A13">
        <v>4</v>
      </c>
      <c r="B13" t="s">
        <v>93</v>
      </c>
      <c r="C13" s="6" t="s">
        <v>221</v>
      </c>
      <c r="E13" s="6">
        <v>1</v>
      </c>
      <c r="G13" s="6" t="s">
        <v>265</v>
      </c>
      <c r="H13" s="7">
        <v>31</v>
      </c>
      <c r="I13" s="23">
        <v>1</v>
      </c>
      <c r="J13" s="8" t="s">
        <v>211</v>
      </c>
      <c r="K13" s="8">
        <v>2</v>
      </c>
      <c r="L13" s="9" t="s">
        <v>220</v>
      </c>
      <c r="M13" s="10">
        <v>1995</v>
      </c>
      <c r="N13" s="10">
        <f>A13</f>
        <v>4</v>
      </c>
      <c r="O13" s="10">
        <f>E13</f>
        <v>1</v>
      </c>
      <c r="Q13" t="s">
        <v>440</v>
      </c>
      <c r="R13" t="s">
        <v>207</v>
      </c>
      <c r="S13">
        <v>12</v>
      </c>
      <c r="T13" t="s">
        <v>566</v>
      </c>
      <c r="U13" t="s">
        <v>207</v>
      </c>
    </row>
    <row r="14" spans="1:24" x14ac:dyDescent="0.2">
      <c r="A14">
        <v>13</v>
      </c>
      <c r="B14" t="s">
        <v>189</v>
      </c>
      <c r="C14" s="6" t="s">
        <v>221</v>
      </c>
      <c r="E14" s="6">
        <v>1</v>
      </c>
      <c r="F14" s="15" t="s">
        <v>346</v>
      </c>
      <c r="H14" s="7">
        <v>40</v>
      </c>
      <c r="I14" s="23">
        <v>1</v>
      </c>
      <c r="J14" s="8" t="s">
        <v>211</v>
      </c>
      <c r="K14" s="8">
        <v>3</v>
      </c>
      <c r="L14" s="9" t="s">
        <v>212</v>
      </c>
      <c r="M14" s="10">
        <v>1977</v>
      </c>
      <c r="N14" s="10">
        <f>A14</f>
        <v>13</v>
      </c>
      <c r="O14" s="24">
        <f>E14</f>
        <v>1</v>
      </c>
      <c r="P14" s="24"/>
      <c r="Q14" t="s">
        <v>470</v>
      </c>
      <c r="R14" t="s">
        <v>207</v>
      </c>
      <c r="S14">
        <v>13</v>
      </c>
      <c r="T14" t="s">
        <v>377</v>
      </c>
      <c r="U14" t="s">
        <v>207</v>
      </c>
    </row>
    <row r="15" spans="1:24" x14ac:dyDescent="0.2">
      <c r="A15">
        <f>68+2+14</f>
        <v>84</v>
      </c>
      <c r="B15" t="s">
        <v>17</v>
      </c>
      <c r="C15" s="6" t="s">
        <v>317</v>
      </c>
      <c r="D15" s="6" t="s">
        <v>207</v>
      </c>
      <c r="E15" s="6">
        <v>1</v>
      </c>
      <c r="F15" s="6" t="s">
        <v>305</v>
      </c>
      <c r="G15" s="6" t="s">
        <v>305</v>
      </c>
      <c r="H15" s="7">
        <v>35</v>
      </c>
      <c r="I15" s="23">
        <v>2</v>
      </c>
      <c r="J15" s="8" t="s">
        <v>214</v>
      </c>
      <c r="K15" s="8">
        <v>3</v>
      </c>
      <c r="L15" s="9" t="s">
        <v>212</v>
      </c>
      <c r="M15" s="10">
        <v>1972</v>
      </c>
      <c r="N15" s="10">
        <f>A15</f>
        <v>84</v>
      </c>
      <c r="O15" s="24">
        <f>E15</f>
        <v>1</v>
      </c>
      <c r="P15" s="24"/>
      <c r="R15" t="s">
        <v>207</v>
      </c>
      <c r="S15">
        <v>10</v>
      </c>
      <c r="T15" t="s">
        <v>561</v>
      </c>
      <c r="U15" t="s">
        <v>207</v>
      </c>
    </row>
    <row r="16" spans="1:24" x14ac:dyDescent="0.2">
      <c r="A16">
        <v>12</v>
      </c>
      <c r="B16" t="s">
        <v>69</v>
      </c>
      <c r="C16" s="6" t="s">
        <v>304</v>
      </c>
      <c r="E16" s="6">
        <v>1</v>
      </c>
      <c r="G16" s="6" t="s">
        <v>210</v>
      </c>
      <c r="H16" s="7">
        <v>-10</v>
      </c>
      <c r="I16" s="23">
        <v>3</v>
      </c>
      <c r="J16" s="8" t="s">
        <v>228</v>
      </c>
      <c r="K16" s="8">
        <v>3</v>
      </c>
      <c r="L16" s="9" t="s">
        <v>245</v>
      </c>
      <c r="M16" s="10">
        <v>1977</v>
      </c>
      <c r="N16" s="10">
        <f>A16</f>
        <v>12</v>
      </c>
      <c r="O16" s="10">
        <f>E16</f>
        <v>1</v>
      </c>
      <c r="Q16" t="s">
        <v>535</v>
      </c>
      <c r="R16" t="s">
        <v>207</v>
      </c>
      <c r="S16">
        <v>15</v>
      </c>
      <c r="T16" t="s">
        <v>267</v>
      </c>
      <c r="U16" t="s">
        <v>207</v>
      </c>
    </row>
    <row r="17" spans="1:22" x14ac:dyDescent="0.2">
      <c r="A17">
        <v>2</v>
      </c>
      <c r="B17" t="s">
        <v>127</v>
      </c>
      <c r="C17" s="6" t="s">
        <v>304</v>
      </c>
      <c r="D17" s="6" t="s">
        <v>348</v>
      </c>
      <c r="E17" s="6">
        <v>1</v>
      </c>
      <c r="G17" s="6" t="s">
        <v>295</v>
      </c>
      <c r="H17" s="7">
        <v>0</v>
      </c>
      <c r="I17" s="23">
        <v>3</v>
      </c>
      <c r="K17" s="8">
        <v>4</v>
      </c>
      <c r="M17" s="10">
        <v>1988</v>
      </c>
      <c r="N17" s="10">
        <f>A17</f>
        <v>2</v>
      </c>
      <c r="O17" s="24">
        <f>E17</f>
        <v>1</v>
      </c>
      <c r="P17" s="24"/>
      <c r="R17" t="s">
        <v>207</v>
      </c>
      <c r="S17">
        <v>16</v>
      </c>
      <c r="T17" t="s">
        <v>562</v>
      </c>
      <c r="U17" t="s">
        <v>207</v>
      </c>
    </row>
    <row r="18" spans="1:22" x14ac:dyDescent="0.2">
      <c r="A18">
        <v>2</v>
      </c>
      <c r="B18" t="s">
        <v>130</v>
      </c>
      <c r="C18" s="6" t="s">
        <v>287</v>
      </c>
      <c r="E18" s="6">
        <v>1</v>
      </c>
      <c r="G18" s="6" t="s">
        <v>288</v>
      </c>
      <c r="H18" s="7">
        <v>1</v>
      </c>
      <c r="I18" s="23">
        <v>1</v>
      </c>
      <c r="J18" s="8" t="s">
        <v>211</v>
      </c>
      <c r="K18" s="8">
        <v>3</v>
      </c>
      <c r="L18" s="9" t="s">
        <v>212</v>
      </c>
      <c r="M18" s="10">
        <v>1976</v>
      </c>
      <c r="N18" s="10">
        <f>A18</f>
        <v>2</v>
      </c>
      <c r="O18" s="10">
        <f>E18</f>
        <v>1</v>
      </c>
      <c r="Q18" t="s">
        <v>501</v>
      </c>
      <c r="R18" t="s">
        <v>207</v>
      </c>
      <c r="S18">
        <v>17</v>
      </c>
      <c r="T18" t="s">
        <v>565</v>
      </c>
      <c r="U18" t="s">
        <v>207</v>
      </c>
    </row>
    <row r="19" spans="1:22" x14ac:dyDescent="0.2">
      <c r="A19">
        <v>2</v>
      </c>
      <c r="B19" t="s">
        <v>134</v>
      </c>
      <c r="C19" s="6" t="s">
        <v>305</v>
      </c>
      <c r="D19" s="6" t="s">
        <v>207</v>
      </c>
      <c r="E19" s="6">
        <v>1</v>
      </c>
      <c r="F19" s="6" t="s">
        <v>305</v>
      </c>
      <c r="G19" s="6" t="s">
        <v>305</v>
      </c>
      <c r="H19" s="7">
        <v>-10</v>
      </c>
      <c r="I19" s="23">
        <v>3</v>
      </c>
      <c r="J19" s="8" t="s">
        <v>207</v>
      </c>
      <c r="K19" s="8">
        <v>4</v>
      </c>
      <c r="L19" s="9" t="s">
        <v>207</v>
      </c>
      <c r="M19" s="10">
        <v>1995</v>
      </c>
      <c r="N19" s="10">
        <f>A19</f>
        <v>2</v>
      </c>
      <c r="O19" s="24">
        <f>E19</f>
        <v>1</v>
      </c>
      <c r="P19" s="24"/>
      <c r="Q19" t="s">
        <v>476</v>
      </c>
      <c r="R19" t="s">
        <v>207</v>
      </c>
      <c r="S19">
        <v>18</v>
      </c>
      <c r="T19" t="s">
        <v>282</v>
      </c>
      <c r="U19" t="s">
        <v>207</v>
      </c>
    </row>
    <row r="20" spans="1:22" x14ac:dyDescent="0.2">
      <c r="A20">
        <v>8</v>
      </c>
      <c r="B20" t="s">
        <v>72</v>
      </c>
      <c r="C20" s="6" t="s">
        <v>305</v>
      </c>
      <c r="D20" s="6" t="s">
        <v>207</v>
      </c>
      <c r="E20" s="6">
        <v>1</v>
      </c>
      <c r="F20" s="6" t="s">
        <v>305</v>
      </c>
      <c r="H20" s="7">
        <v>-10</v>
      </c>
      <c r="I20" s="23">
        <v>3</v>
      </c>
      <c r="J20" s="8" t="s">
        <v>207</v>
      </c>
      <c r="K20" s="8">
        <v>4</v>
      </c>
      <c r="L20" s="9" t="s">
        <v>207</v>
      </c>
      <c r="M20" s="10">
        <v>1995</v>
      </c>
      <c r="N20" s="10">
        <f>A20</f>
        <v>8</v>
      </c>
      <c r="O20" s="24">
        <f>E20</f>
        <v>1</v>
      </c>
      <c r="P20" s="24"/>
      <c r="Q20" t="s">
        <v>457</v>
      </c>
      <c r="R20" t="s">
        <v>207</v>
      </c>
      <c r="S20">
        <v>19</v>
      </c>
      <c r="T20" t="s">
        <v>564</v>
      </c>
      <c r="U20" t="s">
        <v>207</v>
      </c>
    </row>
    <row r="21" spans="1:22" x14ac:dyDescent="0.2">
      <c r="A21">
        <v>2</v>
      </c>
      <c r="B21" t="s">
        <v>139</v>
      </c>
      <c r="C21" s="6" t="s">
        <v>280</v>
      </c>
      <c r="E21" s="6">
        <v>1</v>
      </c>
      <c r="H21" s="7">
        <v>-10</v>
      </c>
      <c r="I21" s="23">
        <v>3</v>
      </c>
      <c r="J21" s="8" t="s">
        <v>228</v>
      </c>
      <c r="K21" s="8">
        <v>4</v>
      </c>
      <c r="L21" s="9" t="s">
        <v>228</v>
      </c>
      <c r="M21" s="10">
        <v>1997</v>
      </c>
      <c r="N21" s="10">
        <f>A21</f>
        <v>2</v>
      </c>
      <c r="O21" s="10">
        <f>E21</f>
        <v>1</v>
      </c>
      <c r="Q21" t="s">
        <v>465</v>
      </c>
      <c r="R21" t="s">
        <v>207</v>
      </c>
      <c r="S21">
        <v>20</v>
      </c>
      <c r="T21" t="s">
        <v>569</v>
      </c>
      <c r="U21" t="s">
        <v>207</v>
      </c>
      <c r="V21" t="s">
        <v>207</v>
      </c>
    </row>
    <row r="22" spans="1:22" x14ac:dyDescent="0.2">
      <c r="A22">
        <v>1</v>
      </c>
      <c r="B22" t="s">
        <v>191</v>
      </c>
      <c r="C22" s="6" t="s">
        <v>352</v>
      </c>
      <c r="E22" s="6">
        <v>1</v>
      </c>
      <c r="G22" s="6" t="s">
        <v>219</v>
      </c>
      <c r="H22" s="7">
        <v>-10</v>
      </c>
      <c r="I22" s="23">
        <v>2</v>
      </c>
      <c r="J22" s="8" t="s">
        <v>214</v>
      </c>
      <c r="K22" s="8">
        <v>3</v>
      </c>
      <c r="L22" s="9" t="s">
        <v>212</v>
      </c>
      <c r="M22" s="10">
        <v>1995</v>
      </c>
      <c r="N22" s="10">
        <f>A22</f>
        <v>1</v>
      </c>
      <c r="O22" s="10">
        <f>E22</f>
        <v>1</v>
      </c>
      <c r="Q22" t="s">
        <v>467</v>
      </c>
      <c r="R22" t="s">
        <v>207</v>
      </c>
      <c r="S22" t="s">
        <v>207</v>
      </c>
    </row>
    <row r="23" spans="1:22" x14ac:dyDescent="0.2">
      <c r="A23">
        <v>2</v>
      </c>
      <c r="B23" t="s">
        <v>188</v>
      </c>
      <c r="C23" s="6" t="s">
        <v>267</v>
      </c>
      <c r="D23" s="6" t="s">
        <v>333</v>
      </c>
      <c r="E23" s="6">
        <v>1</v>
      </c>
      <c r="F23" s="6" t="s">
        <v>541</v>
      </c>
      <c r="G23" s="6" t="s">
        <v>297</v>
      </c>
      <c r="H23" s="7">
        <v>69</v>
      </c>
      <c r="I23" s="23">
        <v>2</v>
      </c>
      <c r="J23" s="8" t="s">
        <v>214</v>
      </c>
      <c r="K23" s="8">
        <v>3</v>
      </c>
      <c r="L23" s="9" t="s">
        <v>212</v>
      </c>
      <c r="M23" s="10">
        <v>1975</v>
      </c>
      <c r="N23" s="10">
        <f>A23</f>
        <v>2</v>
      </c>
      <c r="O23" s="24">
        <f>E23</f>
        <v>1</v>
      </c>
      <c r="P23" s="24"/>
      <c r="R23" t="s">
        <v>207</v>
      </c>
      <c r="S23" t="s">
        <v>207</v>
      </c>
    </row>
    <row r="24" spans="1:22" x14ac:dyDescent="0.2">
      <c r="A24">
        <v>9</v>
      </c>
      <c r="B24" t="s">
        <v>71</v>
      </c>
      <c r="C24" s="6" t="s">
        <v>267</v>
      </c>
      <c r="E24" s="6">
        <v>1</v>
      </c>
      <c r="F24" s="6" t="s">
        <v>541</v>
      </c>
      <c r="G24" s="6" t="s">
        <v>298</v>
      </c>
      <c r="H24" s="7">
        <v>22</v>
      </c>
      <c r="I24" s="23">
        <v>2</v>
      </c>
      <c r="J24" s="8" t="s">
        <v>214</v>
      </c>
      <c r="K24" s="8">
        <v>3</v>
      </c>
      <c r="L24" s="9" t="s">
        <v>212</v>
      </c>
      <c r="M24" s="10">
        <v>1979</v>
      </c>
      <c r="N24" s="10">
        <f>A24</f>
        <v>9</v>
      </c>
      <c r="O24" s="24">
        <f>E24</f>
        <v>1</v>
      </c>
      <c r="P24" s="24"/>
      <c r="Q24" t="s">
        <v>456</v>
      </c>
      <c r="R24" t="s">
        <v>207</v>
      </c>
      <c r="S24" t="s">
        <v>207</v>
      </c>
    </row>
    <row r="25" spans="1:22" x14ac:dyDescent="0.2">
      <c r="A25">
        <v>6</v>
      </c>
      <c r="B25" t="s">
        <v>120</v>
      </c>
      <c r="C25" s="6" t="s">
        <v>267</v>
      </c>
      <c r="E25" s="6">
        <v>1</v>
      </c>
      <c r="G25" s="6" t="s">
        <v>268</v>
      </c>
      <c r="H25" s="7">
        <v>1</v>
      </c>
      <c r="I25" s="23">
        <v>2</v>
      </c>
      <c r="J25" s="8" t="s">
        <v>214</v>
      </c>
      <c r="K25" s="8">
        <v>3</v>
      </c>
      <c r="L25" s="9" t="s">
        <v>212</v>
      </c>
      <c r="M25" s="10">
        <v>1987</v>
      </c>
      <c r="N25" s="10">
        <f>A25</f>
        <v>6</v>
      </c>
      <c r="O25" s="10">
        <f>E25</f>
        <v>1</v>
      </c>
      <c r="Q25" t="s">
        <v>373</v>
      </c>
      <c r="R25" t="s">
        <v>207</v>
      </c>
      <c r="S25" t="s">
        <v>207</v>
      </c>
    </row>
    <row r="26" spans="1:22" x14ac:dyDescent="0.2">
      <c r="A26">
        <v>3</v>
      </c>
      <c r="B26" t="s">
        <v>113</v>
      </c>
      <c r="C26" s="6" t="s">
        <v>267</v>
      </c>
      <c r="E26" s="6">
        <v>1</v>
      </c>
      <c r="F26" s="6" t="s">
        <v>541</v>
      </c>
      <c r="G26" s="6" t="s">
        <v>263</v>
      </c>
      <c r="H26" s="7">
        <v>-10</v>
      </c>
      <c r="I26" s="23">
        <v>3</v>
      </c>
      <c r="J26" s="8" t="s">
        <v>228</v>
      </c>
      <c r="K26" s="8">
        <v>4</v>
      </c>
      <c r="L26" s="9" t="s">
        <v>228</v>
      </c>
      <c r="M26" s="10">
        <v>1999</v>
      </c>
      <c r="N26" s="10">
        <f>A26</f>
        <v>3</v>
      </c>
      <c r="O26" s="10">
        <f>E26</f>
        <v>1</v>
      </c>
      <c r="R26" t="s">
        <v>207</v>
      </c>
      <c r="S26" t="s">
        <v>207</v>
      </c>
    </row>
    <row r="27" spans="1:22" x14ac:dyDescent="0.2">
      <c r="A27">
        <v>4</v>
      </c>
      <c r="B27" t="s">
        <v>101</v>
      </c>
      <c r="C27" s="6" t="s">
        <v>241</v>
      </c>
      <c r="E27" s="6">
        <v>1</v>
      </c>
      <c r="F27" s="6" t="s">
        <v>222</v>
      </c>
      <c r="G27" s="6" t="s">
        <v>242</v>
      </c>
      <c r="H27" s="7">
        <v>52</v>
      </c>
      <c r="I27" s="23">
        <v>2</v>
      </c>
      <c r="J27" s="8" t="s">
        <v>214</v>
      </c>
      <c r="K27" s="8">
        <v>3</v>
      </c>
      <c r="L27" s="9" t="s">
        <v>212</v>
      </c>
      <c r="M27" s="10">
        <v>1971</v>
      </c>
      <c r="N27" s="10">
        <f>A27</f>
        <v>4</v>
      </c>
      <c r="O27" s="24">
        <f>E27</f>
        <v>1</v>
      </c>
      <c r="P27" s="24"/>
      <c r="Q27" t="s">
        <v>400</v>
      </c>
      <c r="R27" t="s">
        <v>207</v>
      </c>
      <c r="S27" t="s">
        <v>207</v>
      </c>
    </row>
    <row r="28" spans="1:22" x14ac:dyDescent="0.2">
      <c r="A28">
        <f>267+19+5</f>
        <v>291</v>
      </c>
      <c r="B28" t="s">
        <v>5</v>
      </c>
      <c r="C28" s="6" t="s">
        <v>241</v>
      </c>
      <c r="E28" s="6">
        <v>1</v>
      </c>
      <c r="F28" s="6" t="s">
        <v>549</v>
      </c>
      <c r="G28" s="6" t="s">
        <v>335</v>
      </c>
      <c r="H28" s="7">
        <v>15</v>
      </c>
      <c r="I28" s="23">
        <v>2</v>
      </c>
      <c r="J28" s="8" t="s">
        <v>214</v>
      </c>
      <c r="K28" s="8">
        <v>3</v>
      </c>
      <c r="L28" s="9" t="s">
        <v>212</v>
      </c>
      <c r="M28" s="10">
        <v>1980</v>
      </c>
      <c r="N28" s="10">
        <f>A28</f>
        <v>291</v>
      </c>
      <c r="O28" s="24">
        <f>E28</f>
        <v>1</v>
      </c>
      <c r="P28" s="24"/>
      <c r="R28" t="s">
        <v>207</v>
      </c>
      <c r="S28" t="s">
        <v>207</v>
      </c>
    </row>
    <row r="29" spans="1:22" x14ac:dyDescent="0.2">
      <c r="A29">
        <v>136</v>
      </c>
      <c r="B29" t="s">
        <v>12</v>
      </c>
      <c r="C29" s="6" t="s">
        <v>217</v>
      </c>
      <c r="D29" s="6" t="s">
        <v>218</v>
      </c>
      <c r="E29" s="6">
        <v>1</v>
      </c>
      <c r="F29" s="6" t="s">
        <v>542</v>
      </c>
      <c r="G29" s="6" t="s">
        <v>210</v>
      </c>
      <c r="H29" s="7">
        <v>31</v>
      </c>
      <c r="I29" s="23">
        <v>1</v>
      </c>
      <c r="J29" s="8" t="s">
        <v>211</v>
      </c>
      <c r="K29" s="8">
        <v>2</v>
      </c>
      <c r="L29" s="9" t="s">
        <v>220</v>
      </c>
      <c r="M29" s="10">
        <v>1954</v>
      </c>
      <c r="N29" s="10">
        <f>A29</f>
        <v>136</v>
      </c>
      <c r="O29" s="24">
        <f>E29</f>
        <v>1</v>
      </c>
      <c r="P29" s="24"/>
      <c r="R29" t="s">
        <v>207</v>
      </c>
      <c r="S29" t="s">
        <v>207</v>
      </c>
    </row>
    <row r="30" spans="1:22" x14ac:dyDescent="0.2">
      <c r="A30">
        <v>1</v>
      </c>
      <c r="B30" t="s">
        <v>155</v>
      </c>
      <c r="C30" s="6" t="s">
        <v>217</v>
      </c>
      <c r="E30" s="6">
        <v>1</v>
      </c>
      <c r="F30" s="6" t="s">
        <v>542</v>
      </c>
      <c r="G30" s="6" t="s">
        <v>210</v>
      </c>
      <c r="H30" s="7">
        <v>40</v>
      </c>
      <c r="I30" s="23">
        <v>1</v>
      </c>
      <c r="J30" s="8" t="s">
        <v>211</v>
      </c>
      <c r="K30" s="8">
        <v>4</v>
      </c>
      <c r="M30" s="10">
        <v>1990</v>
      </c>
      <c r="N30" s="10">
        <f>A30</f>
        <v>1</v>
      </c>
      <c r="O30" s="24">
        <f>E30</f>
        <v>1</v>
      </c>
      <c r="P30" s="24"/>
      <c r="Q30" t="s">
        <v>448</v>
      </c>
      <c r="R30" t="s">
        <v>207</v>
      </c>
      <c r="S30" t="s">
        <v>207</v>
      </c>
    </row>
    <row r="31" spans="1:22" x14ac:dyDescent="0.2">
      <c r="A31">
        <v>5</v>
      </c>
      <c r="B31" t="s">
        <v>86</v>
      </c>
      <c r="C31" s="6" t="s">
        <v>217</v>
      </c>
      <c r="E31" s="6">
        <v>1</v>
      </c>
      <c r="F31" s="6" t="s">
        <v>542</v>
      </c>
      <c r="G31" s="6" t="s">
        <v>331</v>
      </c>
      <c r="H31" s="7">
        <v>82</v>
      </c>
      <c r="I31" s="23">
        <v>2</v>
      </c>
      <c r="J31" s="8" t="s">
        <v>214</v>
      </c>
      <c r="K31" s="8">
        <v>4</v>
      </c>
      <c r="L31" s="9" t="s">
        <v>228</v>
      </c>
      <c r="M31" s="10">
        <v>1990</v>
      </c>
      <c r="N31" s="10">
        <f>A31</f>
        <v>5</v>
      </c>
      <c r="O31" s="24">
        <f>E31</f>
        <v>1</v>
      </c>
      <c r="P31" s="24"/>
      <c r="Q31" t="s">
        <v>455</v>
      </c>
      <c r="R31" t="s">
        <v>207</v>
      </c>
      <c r="S31" t="s">
        <v>207</v>
      </c>
    </row>
    <row r="32" spans="1:22" x14ac:dyDescent="0.2">
      <c r="A32">
        <v>2</v>
      </c>
      <c r="B32" t="s">
        <v>185</v>
      </c>
      <c r="C32" s="6" t="s">
        <v>486</v>
      </c>
      <c r="E32" s="6">
        <v>1</v>
      </c>
      <c r="F32" s="6" t="s">
        <v>542</v>
      </c>
      <c r="G32" s="6" t="s">
        <v>331</v>
      </c>
      <c r="H32" s="7">
        <v>64</v>
      </c>
      <c r="I32" s="23">
        <v>2</v>
      </c>
      <c r="J32" s="8" t="s">
        <v>214</v>
      </c>
      <c r="K32" s="8">
        <v>1</v>
      </c>
      <c r="L32" s="9" t="s">
        <v>235</v>
      </c>
      <c r="M32" s="10">
        <v>1992</v>
      </c>
      <c r="N32" s="10">
        <f>A32</f>
        <v>2</v>
      </c>
      <c r="O32" s="24">
        <f>E32</f>
        <v>1</v>
      </c>
      <c r="P32" s="24"/>
      <c r="Q32" t="s">
        <v>424</v>
      </c>
      <c r="R32" t="s">
        <v>207</v>
      </c>
      <c r="S32" t="s">
        <v>207</v>
      </c>
    </row>
    <row r="33" spans="1:19" ht="17" x14ac:dyDescent="0.2">
      <c r="A33">
        <v>7</v>
      </c>
      <c r="B33" t="s">
        <v>76</v>
      </c>
      <c r="C33" s="6" t="s">
        <v>215</v>
      </c>
      <c r="D33" s="16" t="s">
        <v>349</v>
      </c>
      <c r="E33" s="6">
        <v>1</v>
      </c>
      <c r="F33" s="16"/>
      <c r="G33" s="6" t="s">
        <v>288</v>
      </c>
      <c r="H33" s="7">
        <v>15</v>
      </c>
      <c r="I33" s="23">
        <v>1</v>
      </c>
      <c r="J33" s="8" t="s">
        <v>211</v>
      </c>
      <c r="K33" s="8">
        <v>4</v>
      </c>
      <c r="M33" s="10">
        <v>1973</v>
      </c>
      <c r="N33" s="10">
        <f>A33</f>
        <v>7</v>
      </c>
      <c r="O33" s="10">
        <f>E33</f>
        <v>1</v>
      </c>
      <c r="R33" t="s">
        <v>207</v>
      </c>
      <c r="S33" t="s">
        <v>207</v>
      </c>
    </row>
    <row r="34" spans="1:19" x14ac:dyDescent="0.2">
      <c r="A34">
        <v>1</v>
      </c>
      <c r="B34" t="s">
        <v>198</v>
      </c>
      <c r="C34" s="6" t="s">
        <v>426</v>
      </c>
      <c r="D34" s="18" t="s">
        <v>425</v>
      </c>
      <c r="E34" s="6">
        <v>1</v>
      </c>
      <c r="F34" s="18" t="s">
        <v>542</v>
      </c>
      <c r="G34" s="18" t="s">
        <v>425</v>
      </c>
      <c r="H34" s="7">
        <v>64</v>
      </c>
      <c r="I34" s="23">
        <v>2</v>
      </c>
      <c r="J34" s="8" t="s">
        <v>214</v>
      </c>
      <c r="K34" s="8">
        <v>1</v>
      </c>
      <c r="L34" s="9" t="s">
        <v>235</v>
      </c>
      <c r="M34" s="10">
        <v>1992</v>
      </c>
      <c r="N34" s="10">
        <f>A34</f>
        <v>1</v>
      </c>
      <c r="O34" s="24">
        <f>E34</f>
        <v>1</v>
      </c>
      <c r="P34" s="24"/>
      <c r="Q34" t="s">
        <v>424</v>
      </c>
      <c r="R34" t="s">
        <v>207</v>
      </c>
    </row>
    <row r="35" spans="1:19" x14ac:dyDescent="0.2">
      <c r="A35">
        <v>1</v>
      </c>
      <c r="B35" t="s">
        <v>157</v>
      </c>
      <c r="C35" s="6" t="s">
        <v>319</v>
      </c>
      <c r="E35" s="6">
        <v>1</v>
      </c>
      <c r="F35" s="6" t="s">
        <v>542</v>
      </c>
      <c r="G35" s="15" t="s">
        <v>321</v>
      </c>
      <c r="H35" s="7">
        <v>49</v>
      </c>
      <c r="I35" s="23">
        <v>1</v>
      </c>
      <c r="J35" s="8" t="s">
        <v>211</v>
      </c>
      <c r="K35" s="8">
        <v>1</v>
      </c>
      <c r="L35" s="9" t="s">
        <v>239</v>
      </c>
      <c r="M35" s="10">
        <v>1992</v>
      </c>
      <c r="N35" s="10">
        <f>A35</f>
        <v>1</v>
      </c>
      <c r="O35" s="10">
        <f>E35</f>
        <v>1</v>
      </c>
      <c r="Q35" t="s">
        <v>427</v>
      </c>
      <c r="R35" t="s">
        <v>207</v>
      </c>
    </row>
    <row r="36" spans="1:19" x14ac:dyDescent="0.2">
      <c r="A36">
        <v>3</v>
      </c>
      <c r="B36" t="s">
        <v>112</v>
      </c>
      <c r="C36" s="6" t="s">
        <v>319</v>
      </c>
      <c r="D36" s="6" t="s">
        <v>320</v>
      </c>
      <c r="E36" s="6">
        <v>1</v>
      </c>
      <c r="F36" s="6" t="s">
        <v>542</v>
      </c>
      <c r="G36" s="6" t="s">
        <v>331</v>
      </c>
      <c r="H36" s="7">
        <v>73</v>
      </c>
      <c r="I36" s="23">
        <v>1</v>
      </c>
      <c r="J36" s="8" t="s">
        <v>211</v>
      </c>
      <c r="K36" s="8">
        <v>3</v>
      </c>
      <c r="L36" s="9" t="s">
        <v>212</v>
      </c>
      <c r="M36" s="10">
        <v>1997</v>
      </c>
      <c r="N36" s="10">
        <f>A36</f>
        <v>3</v>
      </c>
      <c r="O36" s="24">
        <f>E36</f>
        <v>1</v>
      </c>
      <c r="P36" s="24"/>
      <c r="Q36" t="s">
        <v>500</v>
      </c>
      <c r="R36" t="s">
        <v>207</v>
      </c>
    </row>
    <row r="37" spans="1:19" x14ac:dyDescent="0.2">
      <c r="A37">
        <v>1</v>
      </c>
      <c r="B37" t="s">
        <v>184</v>
      </c>
      <c r="C37" s="6" t="s">
        <v>319</v>
      </c>
      <c r="E37" s="6">
        <v>1</v>
      </c>
      <c r="F37" s="6" t="s">
        <v>542</v>
      </c>
      <c r="G37" s="6" t="s">
        <v>293</v>
      </c>
      <c r="H37" s="7">
        <v>74</v>
      </c>
      <c r="I37" s="23">
        <v>2</v>
      </c>
      <c r="J37" s="8" t="s">
        <v>214</v>
      </c>
      <c r="K37" s="8">
        <v>3</v>
      </c>
      <c r="L37" s="9" t="s">
        <v>212</v>
      </c>
      <c r="M37" s="10">
        <v>1993</v>
      </c>
      <c r="N37" s="10">
        <f>A37</f>
        <v>1</v>
      </c>
      <c r="O37" s="24">
        <f>E37</f>
        <v>1</v>
      </c>
      <c r="P37" s="24"/>
      <c r="R37" t="s">
        <v>207</v>
      </c>
    </row>
    <row r="38" spans="1:19" ht="17" x14ac:dyDescent="0.2">
      <c r="A38">
        <v>1</v>
      </c>
      <c r="B38" t="s">
        <v>178</v>
      </c>
      <c r="C38" s="16" t="s">
        <v>441</v>
      </c>
      <c r="E38" s="6">
        <v>1</v>
      </c>
      <c r="G38" s="6" t="s">
        <v>210</v>
      </c>
      <c r="H38" s="7">
        <v>0</v>
      </c>
      <c r="I38" s="23">
        <v>1</v>
      </c>
      <c r="J38" s="8" t="s">
        <v>211</v>
      </c>
      <c r="K38" s="8">
        <v>4</v>
      </c>
      <c r="M38" s="10">
        <v>1979</v>
      </c>
      <c r="N38" s="10">
        <f>A38</f>
        <v>1</v>
      </c>
      <c r="O38" s="10">
        <f>E38</f>
        <v>1</v>
      </c>
      <c r="Q38" t="s">
        <v>442</v>
      </c>
      <c r="R38" t="s">
        <v>207</v>
      </c>
    </row>
    <row r="39" spans="1:19" x14ac:dyDescent="0.2">
      <c r="A39">
        <v>20</v>
      </c>
      <c r="B39" t="s">
        <v>44</v>
      </c>
      <c r="C39" s="6" t="s">
        <v>274</v>
      </c>
      <c r="E39" s="6">
        <v>1</v>
      </c>
      <c r="F39" s="6" t="s">
        <v>222</v>
      </c>
      <c r="G39" s="6" t="s">
        <v>222</v>
      </c>
      <c r="H39" s="7">
        <v>62</v>
      </c>
      <c r="I39" s="23">
        <v>1</v>
      </c>
      <c r="J39" s="8" t="s">
        <v>211</v>
      </c>
      <c r="K39" s="8">
        <v>3</v>
      </c>
      <c r="L39" s="9" t="s">
        <v>212</v>
      </c>
      <c r="M39" s="10">
        <v>1981</v>
      </c>
      <c r="N39" s="10">
        <f>A39</f>
        <v>20</v>
      </c>
      <c r="O39" s="24">
        <f>E39</f>
        <v>1</v>
      </c>
      <c r="P39" s="24"/>
      <c r="Q39" t="s">
        <v>464</v>
      </c>
      <c r="R39" t="s">
        <v>207</v>
      </c>
    </row>
    <row r="40" spans="1:19" x14ac:dyDescent="0.2">
      <c r="A40">
        <v>1</v>
      </c>
      <c r="B40" t="s">
        <v>166</v>
      </c>
      <c r="C40" s="6" t="s">
        <v>274</v>
      </c>
      <c r="E40" s="6">
        <v>1</v>
      </c>
      <c r="F40" s="6" t="s">
        <v>540</v>
      </c>
      <c r="G40" s="6" t="s">
        <v>275</v>
      </c>
      <c r="H40" s="7">
        <v>65</v>
      </c>
      <c r="I40" s="23">
        <v>2</v>
      </c>
      <c r="J40" s="8" t="s">
        <v>214</v>
      </c>
      <c r="K40" s="8">
        <v>3</v>
      </c>
      <c r="L40" s="9" t="s">
        <v>212</v>
      </c>
      <c r="M40" s="10">
        <v>1975</v>
      </c>
      <c r="N40" s="10">
        <f>A40</f>
        <v>1</v>
      </c>
      <c r="O40" s="24">
        <f>E40</f>
        <v>1</v>
      </c>
      <c r="P40" s="24"/>
      <c r="Q40" t="s">
        <v>414</v>
      </c>
    </row>
    <row r="41" spans="1:19" x14ac:dyDescent="0.2">
      <c r="A41">
        <f>36+7</f>
        <v>43</v>
      </c>
      <c r="B41" t="s">
        <v>28</v>
      </c>
      <c r="C41" s="6" t="s">
        <v>274</v>
      </c>
      <c r="E41" s="6">
        <v>1</v>
      </c>
      <c r="F41" s="6" t="s">
        <v>540</v>
      </c>
      <c r="G41" s="6" t="s">
        <v>323</v>
      </c>
      <c r="H41" s="7">
        <v>56</v>
      </c>
      <c r="I41" s="23">
        <v>2</v>
      </c>
      <c r="J41" s="8" t="s">
        <v>214</v>
      </c>
      <c r="K41" s="8">
        <v>3</v>
      </c>
      <c r="L41" s="9" t="s">
        <v>212</v>
      </c>
      <c r="M41" s="10">
        <v>1975</v>
      </c>
      <c r="N41" s="10">
        <f>A41</f>
        <v>43</v>
      </c>
      <c r="O41" s="24">
        <f>E41</f>
        <v>1</v>
      </c>
      <c r="P41" s="24"/>
    </row>
    <row r="42" spans="1:19" x14ac:dyDescent="0.2">
      <c r="A42">
        <v>6</v>
      </c>
      <c r="B42" t="s">
        <v>80</v>
      </c>
      <c r="C42" s="6" t="s">
        <v>274</v>
      </c>
      <c r="E42" s="6">
        <v>1</v>
      </c>
      <c r="F42" s="6" t="s">
        <v>536</v>
      </c>
      <c r="G42" s="6" t="s">
        <v>210</v>
      </c>
      <c r="H42" s="7">
        <v>26</v>
      </c>
      <c r="I42" s="23">
        <v>2</v>
      </c>
      <c r="J42" s="8" t="s">
        <v>214</v>
      </c>
      <c r="K42" s="8">
        <v>3</v>
      </c>
      <c r="L42" s="9" t="s">
        <v>212</v>
      </c>
      <c r="M42" s="10">
        <v>1988</v>
      </c>
      <c r="N42" s="10">
        <f>A42</f>
        <v>6</v>
      </c>
      <c r="O42" s="24">
        <f>E42</f>
        <v>1</v>
      </c>
      <c r="P42" s="24"/>
      <c r="Q42" t="s">
        <v>358</v>
      </c>
    </row>
    <row r="43" spans="1:19" x14ac:dyDescent="0.2">
      <c r="A43">
        <f>28+23</f>
        <v>51</v>
      </c>
      <c r="B43" t="s">
        <v>33</v>
      </c>
      <c r="C43" s="6" t="s">
        <v>274</v>
      </c>
      <c r="E43" s="6">
        <v>1</v>
      </c>
      <c r="F43" s="6" t="s">
        <v>222</v>
      </c>
      <c r="G43" s="6" t="s">
        <v>359</v>
      </c>
      <c r="H43" s="7">
        <v>61</v>
      </c>
      <c r="I43" s="23">
        <v>1</v>
      </c>
      <c r="J43" s="8" t="s">
        <v>211</v>
      </c>
      <c r="K43" s="8">
        <v>4</v>
      </c>
      <c r="L43" s="9" t="s">
        <v>228</v>
      </c>
      <c r="M43" s="10">
        <v>1982</v>
      </c>
      <c r="N43" s="10">
        <f>A43</f>
        <v>51</v>
      </c>
      <c r="O43" s="24">
        <f>E43</f>
        <v>1</v>
      </c>
      <c r="P43" s="24"/>
      <c r="Q43" t="s">
        <v>468</v>
      </c>
    </row>
    <row r="44" spans="1:19" x14ac:dyDescent="0.2">
      <c r="A44">
        <v>1</v>
      </c>
      <c r="B44" t="s">
        <v>187</v>
      </c>
      <c r="C44" s="6" t="s">
        <v>274</v>
      </c>
      <c r="E44" s="6">
        <v>1</v>
      </c>
      <c r="F44" s="6" t="s">
        <v>540</v>
      </c>
      <c r="G44" s="6" t="s">
        <v>286</v>
      </c>
      <c r="H44" s="7">
        <v>-10</v>
      </c>
      <c r="I44" s="23">
        <v>3</v>
      </c>
      <c r="J44" s="8" t="s">
        <v>228</v>
      </c>
      <c r="K44" s="8">
        <v>4</v>
      </c>
      <c r="L44" s="9" t="s">
        <v>228</v>
      </c>
      <c r="M44" s="23">
        <v>1986</v>
      </c>
      <c r="N44" s="10">
        <f>A44</f>
        <v>1</v>
      </c>
      <c r="O44" s="24">
        <f>E44</f>
        <v>1</v>
      </c>
      <c r="P44" s="24"/>
      <c r="Q44" t="s">
        <v>574</v>
      </c>
    </row>
    <row r="45" spans="1:19" x14ac:dyDescent="0.2">
      <c r="A45">
        <v>14</v>
      </c>
      <c r="B45" t="s">
        <v>50</v>
      </c>
      <c r="C45" s="6" t="s">
        <v>294</v>
      </c>
      <c r="E45" s="6">
        <v>1</v>
      </c>
      <c r="F45" s="6" t="s">
        <v>295</v>
      </c>
      <c r="G45" s="6" t="s">
        <v>295</v>
      </c>
      <c r="H45" s="7">
        <v>-10</v>
      </c>
      <c r="I45" s="23">
        <v>2</v>
      </c>
      <c r="J45" s="8" t="s">
        <v>214</v>
      </c>
      <c r="K45" s="8">
        <v>4</v>
      </c>
      <c r="L45" s="9" t="s">
        <v>228</v>
      </c>
      <c r="M45" s="10">
        <v>1968</v>
      </c>
      <c r="N45" s="10">
        <f>A45</f>
        <v>14</v>
      </c>
      <c r="O45" s="24">
        <f>E45</f>
        <v>1</v>
      </c>
      <c r="P45" s="24"/>
      <c r="Q45" t="s">
        <v>466</v>
      </c>
    </row>
    <row r="46" spans="1:19" ht="17" x14ac:dyDescent="0.2">
      <c r="A46">
        <v>9</v>
      </c>
      <c r="B46" t="s">
        <v>66</v>
      </c>
      <c r="C46" s="6" t="s">
        <v>294</v>
      </c>
      <c r="E46" s="6">
        <v>1</v>
      </c>
      <c r="F46" s="6" t="s">
        <v>295</v>
      </c>
      <c r="G46" s="17" t="s">
        <v>395</v>
      </c>
      <c r="H46" s="7">
        <v>-10</v>
      </c>
      <c r="I46" s="23">
        <v>3</v>
      </c>
      <c r="J46" s="8" t="s">
        <v>228</v>
      </c>
      <c r="K46" s="8">
        <v>4</v>
      </c>
      <c r="L46" s="9" t="s">
        <v>228</v>
      </c>
      <c r="M46" s="10">
        <v>1971</v>
      </c>
      <c r="N46" s="10">
        <f>A46</f>
        <v>9</v>
      </c>
      <c r="O46" s="24">
        <f>E46</f>
        <v>1</v>
      </c>
      <c r="P46" s="24"/>
      <c r="Q46" t="s">
        <v>507</v>
      </c>
    </row>
    <row r="47" spans="1:19" x14ac:dyDescent="0.2">
      <c r="A47">
        <v>17</v>
      </c>
      <c r="B47" t="s">
        <v>46</v>
      </c>
      <c r="C47" s="6" t="s">
        <v>377</v>
      </c>
      <c r="E47" s="6">
        <v>1</v>
      </c>
      <c r="G47" s="6" t="s">
        <v>321</v>
      </c>
      <c r="H47" s="7">
        <v>3</v>
      </c>
      <c r="I47" s="23">
        <v>1</v>
      </c>
      <c r="J47" s="8" t="s">
        <v>211</v>
      </c>
      <c r="K47" s="8">
        <v>3</v>
      </c>
      <c r="L47" s="9" t="s">
        <v>212</v>
      </c>
      <c r="M47" s="10">
        <v>1974</v>
      </c>
      <c r="N47" s="10">
        <f>A47</f>
        <v>17</v>
      </c>
      <c r="O47" s="10">
        <f>E47</f>
        <v>1</v>
      </c>
      <c r="Q47" t="s">
        <v>376</v>
      </c>
    </row>
    <row r="48" spans="1:19" ht="17" x14ac:dyDescent="0.2">
      <c r="A48">
        <v>2</v>
      </c>
      <c r="B48" t="s">
        <v>131</v>
      </c>
      <c r="C48" s="16" t="s">
        <v>396</v>
      </c>
      <c r="D48" s="6" t="s">
        <v>207</v>
      </c>
      <c r="E48" s="6">
        <v>1</v>
      </c>
      <c r="G48" s="6" t="s">
        <v>354</v>
      </c>
      <c r="H48" s="7">
        <v>17</v>
      </c>
      <c r="I48" s="23">
        <v>2</v>
      </c>
      <c r="J48" s="8" t="s">
        <v>214</v>
      </c>
      <c r="K48" s="8">
        <v>3</v>
      </c>
      <c r="L48" s="9" t="s">
        <v>212</v>
      </c>
      <c r="M48" s="10">
        <v>1979</v>
      </c>
      <c r="N48" s="10">
        <f>A48</f>
        <v>2</v>
      </c>
      <c r="O48" s="24">
        <f>E48</f>
        <v>1</v>
      </c>
      <c r="P48" s="24"/>
      <c r="Q48" t="s">
        <v>394</v>
      </c>
    </row>
    <row r="49" spans="1:18" x14ac:dyDescent="0.2">
      <c r="A49">
        <v>1</v>
      </c>
      <c r="B49" t="s">
        <v>179</v>
      </c>
      <c r="C49" s="6" t="s">
        <v>223</v>
      </c>
      <c r="E49" s="6">
        <v>1</v>
      </c>
      <c r="F49" s="6" t="s">
        <v>282</v>
      </c>
      <c r="G49" s="6" t="s">
        <v>282</v>
      </c>
      <c r="H49" s="7">
        <v>78</v>
      </c>
      <c r="I49" s="23">
        <v>2</v>
      </c>
      <c r="J49" s="8" t="s">
        <v>214</v>
      </c>
      <c r="K49" s="8">
        <v>3</v>
      </c>
      <c r="L49" s="9" t="s">
        <v>212</v>
      </c>
      <c r="M49" s="10">
        <v>1974</v>
      </c>
      <c r="N49" s="10">
        <f>A49</f>
        <v>1</v>
      </c>
      <c r="O49" s="24">
        <f>E49</f>
        <v>1</v>
      </c>
      <c r="P49" s="24"/>
      <c r="Q49" t="s">
        <v>416</v>
      </c>
    </row>
    <row r="50" spans="1:18" x14ac:dyDescent="0.2">
      <c r="A50">
        <v>1</v>
      </c>
      <c r="B50" t="s">
        <v>196</v>
      </c>
      <c r="C50" s="6" t="s">
        <v>223</v>
      </c>
      <c r="E50" s="6">
        <v>1</v>
      </c>
      <c r="F50" s="6" t="s">
        <v>282</v>
      </c>
      <c r="G50" s="6" t="s">
        <v>330</v>
      </c>
      <c r="H50" s="7">
        <v>53</v>
      </c>
      <c r="I50" s="23">
        <v>2</v>
      </c>
      <c r="J50" s="8" t="s">
        <v>214</v>
      </c>
      <c r="K50" s="8">
        <v>3</v>
      </c>
      <c r="L50" s="9" t="s">
        <v>212</v>
      </c>
      <c r="M50" s="10">
        <v>1973</v>
      </c>
      <c r="N50" s="10">
        <f>A50</f>
        <v>1</v>
      </c>
      <c r="O50" s="24">
        <f>E50</f>
        <v>1</v>
      </c>
      <c r="P50" s="24"/>
      <c r="Q50" t="s">
        <v>469</v>
      </c>
    </row>
    <row r="51" spans="1:18" x14ac:dyDescent="0.2">
      <c r="A51">
        <v>9</v>
      </c>
      <c r="B51" t="s">
        <v>65</v>
      </c>
      <c r="C51" s="6" t="s">
        <v>223</v>
      </c>
      <c r="E51" s="6">
        <v>1</v>
      </c>
      <c r="F51" s="6" t="s">
        <v>282</v>
      </c>
      <c r="G51" s="6" t="s">
        <v>252</v>
      </c>
      <c r="H51" s="7">
        <v>53</v>
      </c>
      <c r="I51" s="23">
        <v>2</v>
      </c>
      <c r="J51" s="8" t="s">
        <v>214</v>
      </c>
      <c r="K51" s="8">
        <v>3</v>
      </c>
      <c r="L51" s="9" t="s">
        <v>212</v>
      </c>
      <c r="M51" s="10">
        <v>1973</v>
      </c>
      <c r="N51" s="10">
        <f>A51</f>
        <v>9</v>
      </c>
      <c r="O51" s="24">
        <f>E51</f>
        <v>1</v>
      </c>
      <c r="P51" s="24"/>
    </row>
    <row r="52" spans="1:18" x14ac:dyDescent="0.2">
      <c r="A52">
        <v>8</v>
      </c>
      <c r="B52" t="s">
        <v>118</v>
      </c>
      <c r="C52" s="6" t="s">
        <v>223</v>
      </c>
      <c r="E52" s="6">
        <v>1</v>
      </c>
      <c r="F52" s="6" t="s">
        <v>282</v>
      </c>
      <c r="G52" s="6" t="s">
        <v>224</v>
      </c>
      <c r="H52" s="7">
        <v>31</v>
      </c>
      <c r="I52" s="23">
        <v>2</v>
      </c>
      <c r="J52" s="8" t="s">
        <v>214</v>
      </c>
      <c r="K52" s="8">
        <v>3</v>
      </c>
      <c r="L52" s="9" t="s">
        <v>212</v>
      </c>
      <c r="M52" s="10">
        <v>1978</v>
      </c>
      <c r="N52" s="10">
        <f>A52</f>
        <v>8</v>
      </c>
      <c r="O52" s="24">
        <f>E52</f>
        <v>1</v>
      </c>
      <c r="P52" s="24"/>
      <c r="Q52" t="s">
        <v>372</v>
      </c>
    </row>
    <row r="53" spans="1:18" x14ac:dyDescent="0.2">
      <c r="A53">
        <f>1+9+15</f>
        <v>25</v>
      </c>
      <c r="B53" t="s">
        <v>144</v>
      </c>
      <c r="C53" s="6" t="s">
        <v>223</v>
      </c>
      <c r="E53" s="6">
        <v>1</v>
      </c>
      <c r="F53" s="6" t="s">
        <v>282</v>
      </c>
      <c r="G53" s="6" t="s">
        <v>252</v>
      </c>
      <c r="H53" s="7">
        <v>26</v>
      </c>
      <c r="I53" s="23">
        <v>2</v>
      </c>
      <c r="J53" s="8" t="s">
        <v>214</v>
      </c>
      <c r="K53" s="8">
        <v>3</v>
      </c>
      <c r="L53" s="9" t="s">
        <v>212</v>
      </c>
      <c r="M53" s="10">
        <v>1994</v>
      </c>
      <c r="N53" s="10">
        <f>A53</f>
        <v>25</v>
      </c>
      <c r="O53" s="10">
        <f>E53</f>
        <v>1</v>
      </c>
      <c r="Q53" t="s">
        <v>520</v>
      </c>
    </row>
    <row r="54" spans="1:18" x14ac:dyDescent="0.2">
      <c r="A54">
        <v>5</v>
      </c>
      <c r="B54" t="s">
        <v>83</v>
      </c>
      <c r="C54" s="6" t="s">
        <v>223</v>
      </c>
      <c r="E54" s="6">
        <v>1</v>
      </c>
      <c r="F54" s="6" t="s">
        <v>282</v>
      </c>
      <c r="G54" s="6" t="s">
        <v>418</v>
      </c>
      <c r="H54" s="7">
        <v>26</v>
      </c>
      <c r="I54" s="23">
        <v>2</v>
      </c>
      <c r="J54" s="8" t="s">
        <v>214</v>
      </c>
      <c r="K54" s="8">
        <v>3</v>
      </c>
      <c r="L54" s="9" t="s">
        <v>212</v>
      </c>
      <c r="M54" s="10">
        <v>1987</v>
      </c>
      <c r="N54" s="10">
        <f>A54</f>
        <v>5</v>
      </c>
      <c r="O54" s="10">
        <f>E54</f>
        <v>1</v>
      </c>
      <c r="Q54" t="s">
        <v>519</v>
      </c>
    </row>
    <row r="55" spans="1:18" x14ac:dyDescent="0.2">
      <c r="A55">
        <v>52</v>
      </c>
      <c r="B55" t="s">
        <v>20</v>
      </c>
      <c r="C55" s="6" t="s">
        <v>223</v>
      </c>
      <c r="E55" s="6">
        <v>1</v>
      </c>
      <c r="F55" s="6" t="s">
        <v>282</v>
      </c>
      <c r="G55" s="6" t="s">
        <v>273</v>
      </c>
      <c r="H55" s="7">
        <v>85</v>
      </c>
      <c r="I55" s="23">
        <v>1</v>
      </c>
      <c r="J55" s="8" t="s">
        <v>211</v>
      </c>
      <c r="K55" s="8">
        <v>4</v>
      </c>
      <c r="L55" s="9" t="s">
        <v>228</v>
      </c>
      <c r="M55" s="10">
        <v>1973</v>
      </c>
      <c r="N55" s="10">
        <f>A55</f>
        <v>52</v>
      </c>
      <c r="O55" s="24">
        <f>E55</f>
        <v>1</v>
      </c>
      <c r="P55" s="24"/>
    </row>
    <row r="56" spans="1:18" x14ac:dyDescent="0.2">
      <c r="A56">
        <v>3</v>
      </c>
      <c r="B56" t="s">
        <v>145</v>
      </c>
      <c r="C56" s="6" t="s">
        <v>223</v>
      </c>
      <c r="E56" s="6">
        <v>1</v>
      </c>
      <c r="F56" s="6" t="s">
        <v>282</v>
      </c>
      <c r="G56" s="6" t="s">
        <v>282</v>
      </c>
      <c r="H56" s="7">
        <v>58</v>
      </c>
      <c r="I56" s="23">
        <v>1</v>
      </c>
      <c r="J56" s="8" t="s">
        <v>211</v>
      </c>
      <c r="K56" s="8">
        <v>4</v>
      </c>
      <c r="L56" s="9" t="s">
        <v>228</v>
      </c>
      <c r="M56" s="10">
        <v>1985</v>
      </c>
      <c r="N56" s="10">
        <f>A56</f>
        <v>3</v>
      </c>
      <c r="O56" s="24">
        <f>E56</f>
        <v>1</v>
      </c>
      <c r="P56" s="24"/>
      <c r="Q56" t="s">
        <v>515</v>
      </c>
    </row>
    <row r="57" spans="1:18" x14ac:dyDescent="0.2">
      <c r="A57">
        <v>6</v>
      </c>
      <c r="B57" t="s">
        <v>81</v>
      </c>
      <c r="C57" s="6" t="s">
        <v>223</v>
      </c>
      <c r="E57" s="6">
        <v>1</v>
      </c>
      <c r="F57" s="6" t="s">
        <v>282</v>
      </c>
      <c r="G57" s="6" t="s">
        <v>334</v>
      </c>
      <c r="H57" s="7">
        <v>58</v>
      </c>
      <c r="I57" s="23">
        <v>1</v>
      </c>
      <c r="J57" s="8" t="s">
        <v>211</v>
      </c>
      <c r="K57" s="8">
        <v>4</v>
      </c>
      <c r="L57" s="9" t="s">
        <v>228</v>
      </c>
      <c r="M57" s="10">
        <v>1985</v>
      </c>
      <c r="N57" s="10">
        <f>A57</f>
        <v>6</v>
      </c>
      <c r="O57" s="24">
        <f>E57</f>
        <v>1</v>
      </c>
      <c r="P57" s="24"/>
      <c r="Q57" t="s">
        <v>378</v>
      </c>
    </row>
    <row r="58" spans="1:18" x14ac:dyDescent="0.2">
      <c r="A58">
        <v>27</v>
      </c>
      <c r="B58" t="s">
        <v>34</v>
      </c>
      <c r="C58" s="6" t="s">
        <v>223</v>
      </c>
      <c r="E58" s="6">
        <v>1</v>
      </c>
      <c r="F58" s="6" t="s">
        <v>282</v>
      </c>
      <c r="G58" s="6" t="s">
        <v>282</v>
      </c>
      <c r="H58" s="7">
        <v>54</v>
      </c>
      <c r="I58" s="23">
        <v>1</v>
      </c>
      <c r="J58" s="8" t="s">
        <v>211</v>
      </c>
      <c r="K58" s="8">
        <v>4</v>
      </c>
      <c r="L58" s="9" t="s">
        <v>228</v>
      </c>
      <c r="M58" s="10">
        <v>1973</v>
      </c>
      <c r="N58" s="10">
        <f>A58</f>
        <v>27</v>
      </c>
      <c r="O58" s="24">
        <f>E58</f>
        <v>1</v>
      </c>
      <c r="P58" s="24"/>
    </row>
    <row r="59" spans="1:18" ht="17" x14ac:dyDescent="0.2">
      <c r="A59">
        <v>1</v>
      </c>
      <c r="B59" t="s">
        <v>142</v>
      </c>
      <c r="C59" s="6" t="s">
        <v>223</v>
      </c>
      <c r="E59" s="6">
        <v>1</v>
      </c>
      <c r="F59" s="6" t="s">
        <v>282</v>
      </c>
      <c r="G59" s="6" t="s">
        <v>282</v>
      </c>
      <c r="H59" s="7">
        <v>-10</v>
      </c>
      <c r="I59" s="23">
        <v>3</v>
      </c>
      <c r="K59" s="8">
        <v>4</v>
      </c>
      <c r="M59" s="10">
        <v>1995</v>
      </c>
      <c r="N59" s="10">
        <f>A59</f>
        <v>1</v>
      </c>
      <c r="O59" s="24">
        <f>E59</f>
        <v>1</v>
      </c>
      <c r="P59" s="24"/>
      <c r="Q59" t="s">
        <v>417</v>
      </c>
      <c r="R59" s="17"/>
    </row>
    <row r="60" spans="1:18" x14ac:dyDescent="0.2">
      <c r="A60">
        <v>7</v>
      </c>
      <c r="B60" t="s">
        <v>74</v>
      </c>
      <c r="C60" s="12" t="s">
        <v>306</v>
      </c>
      <c r="D60" s="12"/>
      <c r="E60" s="6">
        <v>1</v>
      </c>
      <c r="F60" s="6" t="s">
        <v>282</v>
      </c>
      <c r="G60" s="6" t="s">
        <v>282</v>
      </c>
      <c r="H60" s="7">
        <v>43</v>
      </c>
      <c r="I60" s="23">
        <v>2</v>
      </c>
      <c r="J60" s="8" t="s">
        <v>214</v>
      </c>
      <c r="K60" s="8">
        <v>3</v>
      </c>
      <c r="L60" s="9" t="s">
        <v>212</v>
      </c>
      <c r="M60" s="10">
        <v>2001</v>
      </c>
      <c r="N60" s="10">
        <f>A60</f>
        <v>7</v>
      </c>
      <c r="O60" s="24">
        <f>E60</f>
        <v>1</v>
      </c>
      <c r="P60" s="24"/>
      <c r="Q60" t="s">
        <v>462</v>
      </c>
    </row>
    <row r="61" spans="1:18" x14ac:dyDescent="0.2">
      <c r="A61">
        <f>12</f>
        <v>12</v>
      </c>
      <c r="B61" t="s">
        <v>85</v>
      </c>
      <c r="C61" s="6" t="s">
        <v>256</v>
      </c>
      <c r="E61" s="6">
        <v>1</v>
      </c>
      <c r="F61" s="6" t="s">
        <v>546</v>
      </c>
      <c r="G61" s="6" t="s">
        <v>310</v>
      </c>
      <c r="H61" s="7">
        <v>55</v>
      </c>
      <c r="I61" s="23">
        <v>2</v>
      </c>
      <c r="J61" s="8" t="s">
        <v>214</v>
      </c>
      <c r="K61" s="8">
        <v>1</v>
      </c>
      <c r="L61" s="9" t="s">
        <v>235</v>
      </c>
      <c r="M61" s="10">
        <v>1978</v>
      </c>
      <c r="N61" s="10">
        <f>A61</f>
        <v>12</v>
      </c>
      <c r="O61" s="24">
        <f>E61</f>
        <v>1</v>
      </c>
      <c r="P61" s="24"/>
      <c r="Q61" t="s">
        <v>506</v>
      </c>
    </row>
    <row r="62" spans="1:18" x14ac:dyDescent="0.2">
      <c r="A62">
        <v>41</v>
      </c>
      <c r="B62" t="s">
        <v>22</v>
      </c>
      <c r="C62" s="6" t="s">
        <v>256</v>
      </c>
      <c r="E62" s="6">
        <v>1</v>
      </c>
      <c r="F62" s="6" t="s">
        <v>546</v>
      </c>
      <c r="G62" s="6" t="s">
        <v>310</v>
      </c>
      <c r="H62" s="7">
        <v>54</v>
      </c>
      <c r="I62" s="23">
        <v>1</v>
      </c>
      <c r="J62" s="8" t="s">
        <v>211</v>
      </c>
      <c r="K62" s="8">
        <v>3</v>
      </c>
      <c r="L62" s="9" t="s">
        <v>212</v>
      </c>
      <c r="M62" s="10">
        <v>1979</v>
      </c>
      <c r="N62" s="10">
        <f>A62</f>
        <v>41</v>
      </c>
      <c r="O62" s="24">
        <f>E62</f>
        <v>1</v>
      </c>
      <c r="P62" s="24"/>
      <c r="Q62" t="s">
        <v>463</v>
      </c>
    </row>
    <row r="63" spans="1:18" x14ac:dyDescent="0.2">
      <c r="A63">
        <v>4</v>
      </c>
      <c r="B63" t="s">
        <v>92</v>
      </c>
      <c r="C63" s="6" t="s">
        <v>256</v>
      </c>
      <c r="E63" s="6">
        <v>1</v>
      </c>
      <c r="F63" s="6" t="s">
        <v>546</v>
      </c>
      <c r="G63" s="6" t="s">
        <v>251</v>
      </c>
      <c r="H63" s="7">
        <v>-10</v>
      </c>
      <c r="I63" s="23">
        <v>3</v>
      </c>
      <c r="J63" s="8" t="s">
        <v>228</v>
      </c>
      <c r="K63" s="8">
        <v>4</v>
      </c>
      <c r="L63" s="9" t="s">
        <v>228</v>
      </c>
      <c r="M63" s="10">
        <v>1976</v>
      </c>
      <c r="N63" s="10">
        <f>A63</f>
        <v>4</v>
      </c>
      <c r="O63" s="24">
        <f>E63</f>
        <v>1</v>
      </c>
      <c r="P63" s="24"/>
      <c r="Q63" t="s">
        <v>576</v>
      </c>
    </row>
    <row r="64" spans="1:18" x14ac:dyDescent="0.2">
      <c r="A64">
        <f>32+34</f>
        <v>66</v>
      </c>
      <c r="B64" t="s">
        <v>32</v>
      </c>
      <c r="C64" s="6" t="s">
        <v>278</v>
      </c>
      <c r="E64" s="6">
        <v>1</v>
      </c>
      <c r="G64" s="13" t="s">
        <v>216</v>
      </c>
      <c r="H64" s="7">
        <v>22</v>
      </c>
      <c r="I64" s="23">
        <v>2</v>
      </c>
      <c r="J64" s="8" t="s">
        <v>214</v>
      </c>
      <c r="K64" s="8">
        <v>3</v>
      </c>
      <c r="L64" s="9" t="s">
        <v>212</v>
      </c>
      <c r="M64" s="27">
        <v>1980</v>
      </c>
      <c r="N64" s="10">
        <f>A64</f>
        <v>66</v>
      </c>
      <c r="O64" s="24">
        <f>E64</f>
        <v>1</v>
      </c>
      <c r="P64" s="24"/>
      <c r="Q64" t="s">
        <v>518</v>
      </c>
    </row>
    <row r="65" spans="1:17" x14ac:dyDescent="0.2">
      <c r="A65">
        <v>10</v>
      </c>
      <c r="B65" t="s">
        <v>60</v>
      </c>
      <c r="C65" s="6" t="s">
        <v>449</v>
      </c>
      <c r="E65" s="6">
        <v>1</v>
      </c>
      <c r="G65" s="6" t="s">
        <v>293</v>
      </c>
      <c r="H65" s="7">
        <v>36</v>
      </c>
      <c r="I65" s="23">
        <v>2</v>
      </c>
      <c r="J65" s="8" t="s">
        <v>214</v>
      </c>
      <c r="K65" s="8">
        <v>4</v>
      </c>
      <c r="M65" s="27">
        <v>1995</v>
      </c>
      <c r="N65" s="10">
        <f>A65</f>
        <v>10</v>
      </c>
      <c r="O65" s="10">
        <f>E65</f>
        <v>1</v>
      </c>
      <c r="Q65" t="s">
        <v>450</v>
      </c>
    </row>
    <row r="66" spans="1:17" x14ac:dyDescent="0.2">
      <c r="A66">
        <v>231</v>
      </c>
      <c r="B66" t="s">
        <v>7</v>
      </c>
      <c r="C66" s="6" t="s">
        <v>208</v>
      </c>
      <c r="D66" s="6" t="s">
        <v>209</v>
      </c>
      <c r="E66" s="6">
        <v>1</v>
      </c>
      <c r="F66" s="6" t="s">
        <v>210</v>
      </c>
      <c r="G66" s="6" t="s">
        <v>210</v>
      </c>
      <c r="H66" s="7">
        <v>77</v>
      </c>
      <c r="I66" s="23">
        <v>1</v>
      </c>
      <c r="J66" s="8" t="s">
        <v>211</v>
      </c>
      <c r="K66" s="8">
        <v>3</v>
      </c>
      <c r="L66" s="9" t="s">
        <v>212</v>
      </c>
      <c r="M66" s="10">
        <v>1981</v>
      </c>
      <c r="N66" s="10">
        <f>A66</f>
        <v>231</v>
      </c>
      <c r="O66" s="24">
        <f>E66</f>
        <v>1</v>
      </c>
      <c r="P66" s="24"/>
    </row>
    <row r="67" spans="1:17" x14ac:dyDescent="0.2">
      <c r="A67">
        <v>88</v>
      </c>
      <c r="B67" t="s">
        <v>14</v>
      </c>
      <c r="C67" s="6" t="s">
        <v>208</v>
      </c>
      <c r="E67" s="6">
        <v>1</v>
      </c>
      <c r="G67" s="6" t="s">
        <v>210</v>
      </c>
      <c r="H67" s="7">
        <v>58</v>
      </c>
      <c r="I67" s="23">
        <v>2</v>
      </c>
      <c r="J67" s="8" t="s">
        <v>214</v>
      </c>
      <c r="K67" s="8">
        <v>3</v>
      </c>
      <c r="L67" s="9" t="s">
        <v>212</v>
      </c>
      <c r="M67" s="10">
        <v>1993</v>
      </c>
      <c r="N67" s="10">
        <f>A67</f>
        <v>88</v>
      </c>
      <c r="O67" s="10">
        <f>E67</f>
        <v>1</v>
      </c>
      <c r="Q67" t="s">
        <v>525</v>
      </c>
    </row>
    <row r="68" spans="1:17" x14ac:dyDescent="0.2">
      <c r="A68">
        <v>1</v>
      </c>
      <c r="B68" t="s">
        <v>150</v>
      </c>
      <c r="C68" s="6" t="s">
        <v>208</v>
      </c>
      <c r="E68" s="6">
        <v>1</v>
      </c>
      <c r="F68" s="6" t="s">
        <v>210</v>
      </c>
      <c r="G68" s="11" t="s">
        <v>213</v>
      </c>
      <c r="H68" s="7">
        <v>78</v>
      </c>
      <c r="I68" s="23">
        <v>1</v>
      </c>
      <c r="J68" s="8" t="s">
        <v>211</v>
      </c>
      <c r="K68" s="8">
        <v>4</v>
      </c>
      <c r="M68" s="10">
        <v>1992</v>
      </c>
      <c r="N68" s="10">
        <f>A68</f>
        <v>1</v>
      </c>
      <c r="O68" s="24">
        <f>E68</f>
        <v>1</v>
      </c>
      <c r="P68" s="24"/>
      <c r="Q68" t="s">
        <v>511</v>
      </c>
    </row>
    <row r="69" spans="1:17" x14ac:dyDescent="0.2">
      <c r="A69">
        <v>1</v>
      </c>
      <c r="B69" t="s">
        <v>181</v>
      </c>
      <c r="C69" s="6" t="s">
        <v>291</v>
      </c>
      <c r="E69" s="6">
        <v>1</v>
      </c>
      <c r="F69" s="6" t="s">
        <v>542</v>
      </c>
      <c r="G69" s="6" t="s">
        <v>293</v>
      </c>
      <c r="H69" s="7">
        <v>-10</v>
      </c>
      <c r="I69" s="23">
        <v>1</v>
      </c>
      <c r="J69" s="8" t="s">
        <v>211</v>
      </c>
      <c r="K69" s="8">
        <v>3</v>
      </c>
      <c r="L69" s="9" t="s">
        <v>212</v>
      </c>
      <c r="M69" s="10">
        <v>1995</v>
      </c>
      <c r="N69" s="10">
        <f>A69</f>
        <v>1</v>
      </c>
      <c r="O69" s="10">
        <f>E69</f>
        <v>1</v>
      </c>
    </row>
    <row r="70" spans="1:17" x14ac:dyDescent="0.2">
      <c r="A70">
        <v>5</v>
      </c>
      <c r="B70" t="s">
        <v>84</v>
      </c>
      <c r="C70" s="6" t="s">
        <v>291</v>
      </c>
      <c r="E70" s="6">
        <v>1</v>
      </c>
      <c r="F70" s="6" t="s">
        <v>542</v>
      </c>
      <c r="G70" s="6" t="s">
        <v>300</v>
      </c>
      <c r="H70" s="7">
        <v>25</v>
      </c>
      <c r="I70" s="23">
        <v>2</v>
      </c>
      <c r="J70" s="8" t="s">
        <v>214</v>
      </c>
      <c r="K70" s="8">
        <v>4</v>
      </c>
      <c r="L70" s="9" t="s">
        <v>228</v>
      </c>
      <c r="M70" s="10">
        <v>1981</v>
      </c>
      <c r="N70" s="10">
        <f>A70</f>
        <v>5</v>
      </c>
      <c r="O70" s="10">
        <f>E70</f>
        <v>1</v>
      </c>
      <c r="Q70" t="s">
        <v>531</v>
      </c>
    </row>
    <row r="71" spans="1:17" ht="17" x14ac:dyDescent="0.2">
      <c r="A71">
        <v>2</v>
      </c>
      <c r="B71" t="s">
        <v>138</v>
      </c>
      <c r="C71" s="6" t="s">
        <v>353</v>
      </c>
      <c r="E71" s="6">
        <v>1</v>
      </c>
      <c r="F71" s="6" t="s">
        <v>338</v>
      </c>
      <c r="G71" s="16" t="s">
        <v>389</v>
      </c>
      <c r="H71" s="7">
        <v>-10</v>
      </c>
      <c r="I71" s="23">
        <v>3</v>
      </c>
      <c r="K71" s="8">
        <v>4</v>
      </c>
      <c r="M71" s="10">
        <v>1983</v>
      </c>
      <c r="N71" s="10">
        <f>A71</f>
        <v>2</v>
      </c>
      <c r="O71" s="24">
        <f>E71</f>
        <v>1</v>
      </c>
      <c r="P71" s="24"/>
    </row>
    <row r="72" spans="1:17" x14ac:dyDescent="0.2">
      <c r="A72">
        <v>9</v>
      </c>
      <c r="B72" t="s">
        <v>67</v>
      </c>
      <c r="C72" s="6" t="s">
        <v>262</v>
      </c>
      <c r="E72" s="6">
        <v>1</v>
      </c>
      <c r="G72" s="6" t="s">
        <v>380</v>
      </c>
      <c r="H72" s="7">
        <v>63</v>
      </c>
      <c r="I72" s="23">
        <v>2</v>
      </c>
      <c r="J72" s="8" t="s">
        <v>214</v>
      </c>
      <c r="K72" s="8">
        <v>3</v>
      </c>
      <c r="L72" s="9" t="s">
        <v>212</v>
      </c>
      <c r="M72" s="10">
        <v>1970</v>
      </c>
      <c r="N72" s="10">
        <f>A72</f>
        <v>9</v>
      </c>
      <c r="O72" s="10">
        <f>E72</f>
        <v>1</v>
      </c>
      <c r="Q72" t="s">
        <v>528</v>
      </c>
    </row>
    <row r="73" spans="1:17" x14ac:dyDescent="0.2">
      <c r="A73">
        <v>6</v>
      </c>
      <c r="B73" t="s">
        <v>94</v>
      </c>
      <c r="C73" s="6" t="s">
        <v>262</v>
      </c>
      <c r="E73" s="6">
        <v>1</v>
      </c>
      <c r="G73" s="6" t="s">
        <v>387</v>
      </c>
      <c r="H73" s="7">
        <v>-10</v>
      </c>
      <c r="I73" s="23">
        <v>2</v>
      </c>
      <c r="J73" s="8" t="s">
        <v>214</v>
      </c>
      <c r="K73" s="8">
        <v>4</v>
      </c>
      <c r="L73" s="9" t="s">
        <v>228</v>
      </c>
      <c r="M73" s="10">
        <v>1986</v>
      </c>
      <c r="N73" s="10">
        <f>A73</f>
        <v>6</v>
      </c>
      <c r="O73" s="10">
        <f>E73</f>
        <v>1</v>
      </c>
      <c r="Q73" t="s">
        <v>379</v>
      </c>
    </row>
    <row r="74" spans="1:17" x14ac:dyDescent="0.2">
      <c r="A74">
        <f>139+2+10</f>
        <v>151</v>
      </c>
      <c r="B74" t="s">
        <v>10</v>
      </c>
      <c r="C74" s="6" t="s">
        <v>230</v>
      </c>
      <c r="E74" s="6">
        <v>2</v>
      </c>
      <c r="F74" s="6" t="s">
        <v>547</v>
      </c>
      <c r="G74" s="18" t="s">
        <v>423</v>
      </c>
      <c r="H74" s="7">
        <v>4</v>
      </c>
      <c r="I74" s="23">
        <v>1</v>
      </c>
      <c r="J74" s="8" t="s">
        <v>211</v>
      </c>
      <c r="K74" s="8">
        <v>4</v>
      </c>
      <c r="L74" s="9" t="s">
        <v>228</v>
      </c>
      <c r="M74" s="10">
        <v>1970</v>
      </c>
      <c r="N74" s="10">
        <f>A74</f>
        <v>151</v>
      </c>
      <c r="O74" s="24">
        <f>E74</f>
        <v>2</v>
      </c>
      <c r="P74" s="24"/>
      <c r="Q74" t="s">
        <v>513</v>
      </c>
    </row>
    <row r="75" spans="1:17" x14ac:dyDescent="0.2">
      <c r="A75">
        <v>2</v>
      </c>
      <c r="B75" t="s">
        <v>169</v>
      </c>
      <c r="C75" s="6" t="s">
        <v>277</v>
      </c>
      <c r="E75" s="6">
        <v>2</v>
      </c>
      <c r="F75" s="6" t="s">
        <v>547</v>
      </c>
      <c r="G75" s="6" t="s">
        <v>260</v>
      </c>
      <c r="H75" s="7">
        <v>2</v>
      </c>
      <c r="I75" s="23">
        <v>2</v>
      </c>
      <c r="J75" s="8" t="s">
        <v>214</v>
      </c>
      <c r="K75" s="8">
        <v>4</v>
      </c>
      <c r="M75" s="10">
        <v>1977</v>
      </c>
      <c r="N75" s="10">
        <f>A75</f>
        <v>2</v>
      </c>
      <c r="O75" s="24">
        <f>E75</f>
        <v>2</v>
      </c>
      <c r="P75" s="24"/>
      <c r="Q75" t="s">
        <v>422</v>
      </c>
    </row>
    <row r="76" spans="1:17" x14ac:dyDescent="0.2">
      <c r="A76">
        <v>3</v>
      </c>
      <c r="B76" t="s">
        <v>114</v>
      </c>
      <c r="C76" s="6" t="s">
        <v>259</v>
      </c>
      <c r="E76" s="6">
        <v>2</v>
      </c>
      <c r="F76" s="6" t="s">
        <v>547</v>
      </c>
      <c r="G76" s="6" t="s">
        <v>251</v>
      </c>
      <c r="H76" s="7">
        <v>68</v>
      </c>
      <c r="I76" s="23">
        <v>1</v>
      </c>
      <c r="J76" s="8" t="s">
        <v>211</v>
      </c>
      <c r="K76" s="8">
        <v>3</v>
      </c>
      <c r="L76" s="9" t="s">
        <v>212</v>
      </c>
      <c r="M76" s="10">
        <v>1983</v>
      </c>
      <c r="N76" s="10">
        <f>A76</f>
        <v>3</v>
      </c>
      <c r="O76" s="24">
        <f>E76</f>
        <v>2</v>
      </c>
      <c r="P76" s="24"/>
    </row>
    <row r="77" spans="1:17" ht="17" x14ac:dyDescent="0.2">
      <c r="A77">
        <v>1</v>
      </c>
      <c r="B77" t="s">
        <v>186</v>
      </c>
      <c r="C77" s="6" t="s">
        <v>259</v>
      </c>
      <c r="E77" s="6">
        <v>2</v>
      </c>
      <c r="F77" s="17" t="s">
        <v>547</v>
      </c>
      <c r="G77" s="6" t="s">
        <v>356</v>
      </c>
      <c r="H77" s="7">
        <v>59</v>
      </c>
      <c r="I77" s="23">
        <v>1</v>
      </c>
      <c r="J77" s="8" t="s">
        <v>211</v>
      </c>
      <c r="K77" s="8">
        <v>3</v>
      </c>
      <c r="L77" s="9" t="s">
        <v>212</v>
      </c>
      <c r="M77" s="10">
        <v>1992</v>
      </c>
      <c r="N77" s="10">
        <f>A77</f>
        <v>1</v>
      </c>
      <c r="O77" s="24">
        <f>E77</f>
        <v>2</v>
      </c>
      <c r="P77" s="24"/>
      <c r="Q77" t="s">
        <v>365</v>
      </c>
    </row>
    <row r="78" spans="1:17" x14ac:dyDescent="0.2">
      <c r="A78">
        <v>22</v>
      </c>
      <c r="B78" t="s">
        <v>39</v>
      </c>
      <c r="C78" s="6" t="s">
        <v>259</v>
      </c>
      <c r="E78" s="6">
        <v>2</v>
      </c>
      <c r="F78" s="6" t="s">
        <v>547</v>
      </c>
      <c r="G78" s="6" t="s">
        <v>251</v>
      </c>
      <c r="H78" s="7">
        <v>14</v>
      </c>
      <c r="I78" s="23">
        <v>1</v>
      </c>
      <c r="J78" s="8" t="s">
        <v>211</v>
      </c>
      <c r="K78" s="8">
        <v>3</v>
      </c>
      <c r="L78" s="9" t="s">
        <v>245</v>
      </c>
      <c r="M78" s="10">
        <v>1973</v>
      </c>
      <c r="N78" s="10">
        <f>A78</f>
        <v>22</v>
      </c>
      <c r="O78" s="10">
        <f>E78</f>
        <v>2</v>
      </c>
    </row>
    <row r="79" spans="1:17" x14ac:dyDescent="0.2">
      <c r="A79">
        <v>10</v>
      </c>
      <c r="B79" t="s">
        <v>61</v>
      </c>
      <c r="C79" s="6" t="s">
        <v>259</v>
      </c>
      <c r="E79" s="6">
        <v>2</v>
      </c>
      <c r="F79" s="6" t="s">
        <v>547</v>
      </c>
      <c r="G79" s="6" t="s">
        <v>361</v>
      </c>
      <c r="H79" s="7">
        <v>6</v>
      </c>
      <c r="I79" s="23">
        <v>1</v>
      </c>
      <c r="J79" s="8" t="s">
        <v>211</v>
      </c>
      <c r="K79" s="8">
        <v>3</v>
      </c>
      <c r="L79" s="9" t="s">
        <v>212</v>
      </c>
      <c r="M79" s="10">
        <v>1981</v>
      </c>
      <c r="N79" s="10">
        <f>A79</f>
        <v>10</v>
      </c>
      <c r="O79" s="24">
        <f>E79</f>
        <v>2</v>
      </c>
      <c r="P79" s="24"/>
    </row>
    <row r="80" spans="1:17" x14ac:dyDescent="0.2">
      <c r="A80">
        <v>6</v>
      </c>
      <c r="B80" t="s">
        <v>79</v>
      </c>
      <c r="C80" s="6" t="s">
        <v>259</v>
      </c>
      <c r="E80" s="6">
        <v>2</v>
      </c>
      <c r="F80" s="6" t="s">
        <v>547</v>
      </c>
      <c r="G80" s="12" t="s">
        <v>284</v>
      </c>
      <c r="H80" s="7">
        <v>2</v>
      </c>
      <c r="I80" s="23">
        <v>1</v>
      </c>
      <c r="J80" s="8" t="s">
        <v>211</v>
      </c>
      <c r="K80" s="8">
        <v>3</v>
      </c>
      <c r="L80" s="9" t="s">
        <v>212</v>
      </c>
      <c r="M80" s="10">
        <v>1978</v>
      </c>
      <c r="N80" s="10">
        <f>A80</f>
        <v>6</v>
      </c>
      <c r="O80" s="24">
        <f>E80</f>
        <v>2</v>
      </c>
      <c r="P80" s="24"/>
      <c r="Q80" t="s">
        <v>398</v>
      </c>
    </row>
    <row r="81" spans="1:22" ht="17" x14ac:dyDescent="0.2">
      <c r="A81">
        <v>40</v>
      </c>
      <c r="B81" t="s">
        <v>23</v>
      </c>
      <c r="C81" s="6" t="s">
        <v>259</v>
      </c>
      <c r="E81" s="6">
        <v>2</v>
      </c>
      <c r="F81" s="17" t="s">
        <v>547</v>
      </c>
      <c r="G81" s="6" t="s">
        <v>251</v>
      </c>
      <c r="H81" s="7">
        <v>61</v>
      </c>
      <c r="I81" s="23">
        <v>2</v>
      </c>
      <c r="J81" s="8" t="s">
        <v>214</v>
      </c>
      <c r="K81" s="8">
        <v>3</v>
      </c>
      <c r="L81" s="9" t="s">
        <v>212</v>
      </c>
      <c r="M81" s="10">
        <v>1979</v>
      </c>
      <c r="N81" s="10">
        <f>A81</f>
        <v>40</v>
      </c>
      <c r="O81" s="24">
        <f>E81</f>
        <v>2</v>
      </c>
      <c r="P81" s="24"/>
      <c r="Q81" t="s">
        <v>527</v>
      </c>
    </row>
    <row r="82" spans="1:22" x14ac:dyDescent="0.2">
      <c r="A82">
        <v>3</v>
      </c>
      <c r="B82" t="s">
        <v>108</v>
      </c>
      <c r="C82" s="6" t="s">
        <v>259</v>
      </c>
      <c r="D82" s="6" t="s">
        <v>260</v>
      </c>
      <c r="E82" s="6">
        <v>2</v>
      </c>
      <c r="F82" s="6" t="s">
        <v>553</v>
      </c>
      <c r="G82" s="6" t="s">
        <v>307</v>
      </c>
      <c r="H82" s="7">
        <v>50</v>
      </c>
      <c r="I82" s="23">
        <v>2</v>
      </c>
      <c r="J82" s="8" t="s">
        <v>214</v>
      </c>
      <c r="K82" s="8">
        <v>3</v>
      </c>
      <c r="L82" s="9" t="s">
        <v>212</v>
      </c>
      <c r="M82" s="10">
        <v>1972</v>
      </c>
      <c r="N82" s="10">
        <f>A82</f>
        <v>3</v>
      </c>
      <c r="O82" s="24">
        <f>E82</f>
        <v>2</v>
      </c>
      <c r="P82" s="24"/>
      <c r="Q82" s="21" t="s">
        <v>458</v>
      </c>
    </row>
    <row r="83" spans="1:22" ht="17" x14ac:dyDescent="0.2">
      <c r="A83">
        <f>11+1+8+8+86</f>
        <v>114</v>
      </c>
      <c r="B83" t="s">
        <v>55</v>
      </c>
      <c r="C83" s="6" t="s">
        <v>259</v>
      </c>
      <c r="D83" s="6" t="s">
        <v>260</v>
      </c>
      <c r="E83" s="6">
        <v>2</v>
      </c>
      <c r="F83" s="17" t="s">
        <v>547</v>
      </c>
      <c r="G83" s="6" t="s">
        <v>270</v>
      </c>
      <c r="H83" s="7">
        <v>44</v>
      </c>
      <c r="I83" s="23">
        <v>2</v>
      </c>
      <c r="J83" s="8" t="s">
        <v>214</v>
      </c>
      <c r="K83" s="8">
        <v>3</v>
      </c>
      <c r="L83" s="9" t="s">
        <v>212</v>
      </c>
      <c r="M83" s="10">
        <v>1966</v>
      </c>
      <c r="N83" s="10">
        <f>A83</f>
        <v>114</v>
      </c>
      <c r="O83" s="24">
        <f>E83</f>
        <v>2</v>
      </c>
      <c r="P83" s="24"/>
    </row>
    <row r="84" spans="1:22" x14ac:dyDescent="0.2">
      <c r="A84">
        <v>1</v>
      </c>
      <c r="B84" t="s">
        <v>154</v>
      </c>
      <c r="C84" s="6" t="s">
        <v>259</v>
      </c>
      <c r="E84" s="6">
        <v>2</v>
      </c>
      <c r="F84" s="6" t="s">
        <v>547</v>
      </c>
      <c r="G84" s="6" t="s">
        <v>251</v>
      </c>
      <c r="H84" s="7">
        <v>11</v>
      </c>
      <c r="I84" s="23">
        <v>2</v>
      </c>
      <c r="J84" s="8" t="s">
        <v>214</v>
      </c>
      <c r="K84" s="8">
        <v>3</v>
      </c>
      <c r="L84" s="9" t="s">
        <v>245</v>
      </c>
      <c r="M84" s="10">
        <v>1979</v>
      </c>
      <c r="N84" s="10">
        <f>A84</f>
        <v>1</v>
      </c>
      <c r="O84" s="24">
        <f>E84</f>
        <v>2</v>
      </c>
      <c r="P84" s="24"/>
      <c r="Q84" t="s">
        <v>397</v>
      </c>
    </row>
    <row r="85" spans="1:22" x14ac:dyDescent="0.2">
      <c r="A85">
        <f>19+5+6</f>
        <v>30</v>
      </c>
      <c r="B85" t="s">
        <v>42</v>
      </c>
      <c r="C85" s="6" t="s">
        <v>259</v>
      </c>
      <c r="E85" s="6">
        <v>2</v>
      </c>
      <c r="F85" s="6" t="s">
        <v>547</v>
      </c>
      <c r="G85" s="6" t="s">
        <v>261</v>
      </c>
      <c r="H85" s="7">
        <v>1</v>
      </c>
      <c r="I85" s="23">
        <v>2</v>
      </c>
      <c r="J85" s="8" t="s">
        <v>214</v>
      </c>
      <c r="K85" s="8">
        <v>3</v>
      </c>
      <c r="L85" s="9" t="s">
        <v>212</v>
      </c>
      <c r="M85" s="10">
        <v>1967</v>
      </c>
      <c r="N85" s="10">
        <f>A85</f>
        <v>30</v>
      </c>
      <c r="O85" s="24">
        <f>E85</f>
        <v>2</v>
      </c>
      <c r="P85" s="24"/>
    </row>
    <row r="86" spans="1:22" x14ac:dyDescent="0.2">
      <c r="A86">
        <v>35</v>
      </c>
      <c r="B86" t="s">
        <v>31</v>
      </c>
      <c r="C86" s="6" t="s">
        <v>259</v>
      </c>
      <c r="D86" s="6" t="s">
        <v>276</v>
      </c>
      <c r="E86" s="6">
        <v>2</v>
      </c>
      <c r="F86" s="6" t="s">
        <v>547</v>
      </c>
      <c r="G86" s="6" t="s">
        <v>261</v>
      </c>
      <c r="H86" s="7">
        <v>4</v>
      </c>
      <c r="I86" s="23">
        <v>1</v>
      </c>
      <c r="J86" s="8" t="s">
        <v>211</v>
      </c>
      <c r="K86" s="8">
        <v>4</v>
      </c>
      <c r="L86" s="9" t="s">
        <v>228</v>
      </c>
      <c r="M86" s="10">
        <v>1973</v>
      </c>
      <c r="N86" s="10">
        <f>A86</f>
        <v>35</v>
      </c>
      <c r="O86" s="24">
        <f>E86</f>
        <v>2</v>
      </c>
      <c r="P86" s="24"/>
    </row>
    <row r="87" spans="1:22" ht="17" x14ac:dyDescent="0.2">
      <c r="A87">
        <v>42</v>
      </c>
      <c r="B87" t="s">
        <v>26</v>
      </c>
      <c r="C87" s="6" t="s">
        <v>259</v>
      </c>
      <c r="E87" s="6">
        <v>2</v>
      </c>
      <c r="F87" s="17" t="s">
        <v>547</v>
      </c>
      <c r="G87" s="6" t="s">
        <v>251</v>
      </c>
      <c r="H87" s="7">
        <v>53</v>
      </c>
      <c r="I87" s="23">
        <v>2</v>
      </c>
      <c r="J87" s="8" t="s">
        <v>214</v>
      </c>
      <c r="K87" s="8">
        <v>4</v>
      </c>
      <c r="L87" s="9" t="s">
        <v>228</v>
      </c>
      <c r="M87" s="10">
        <v>1973</v>
      </c>
      <c r="N87" s="10">
        <f>A87</f>
        <v>42</v>
      </c>
      <c r="O87" s="24">
        <f>E87</f>
        <v>2</v>
      </c>
      <c r="P87" s="24"/>
      <c r="Q87" s="21" t="s">
        <v>460</v>
      </c>
    </row>
    <row r="88" spans="1:22" x14ac:dyDescent="0.2">
      <c r="A88">
        <v>3</v>
      </c>
      <c r="B88" t="s">
        <v>109</v>
      </c>
      <c r="C88" s="6" t="s">
        <v>259</v>
      </c>
      <c r="E88" s="6">
        <v>2</v>
      </c>
      <c r="F88" s="6" t="s">
        <v>547</v>
      </c>
      <c r="G88" s="6" t="s">
        <v>429</v>
      </c>
      <c r="H88" s="7">
        <v>2</v>
      </c>
      <c r="I88" s="23">
        <v>2</v>
      </c>
      <c r="J88" s="8" t="s">
        <v>214</v>
      </c>
      <c r="K88" s="8">
        <v>4</v>
      </c>
      <c r="M88" s="10">
        <v>1972</v>
      </c>
      <c r="N88" s="10">
        <f>A88</f>
        <v>3</v>
      </c>
      <c r="O88" s="24">
        <f>E88</f>
        <v>2</v>
      </c>
      <c r="P88" s="24"/>
      <c r="Q88" t="s">
        <v>399</v>
      </c>
    </row>
    <row r="89" spans="1:22" x14ac:dyDescent="0.2">
      <c r="A89">
        <v>4</v>
      </c>
      <c r="B89" t="s">
        <v>97</v>
      </c>
      <c r="C89" s="6" t="s">
        <v>259</v>
      </c>
      <c r="E89" s="6">
        <v>2</v>
      </c>
      <c r="F89" s="6" t="s">
        <v>547</v>
      </c>
      <c r="G89" s="6" t="s">
        <v>251</v>
      </c>
      <c r="H89" s="7">
        <v>1</v>
      </c>
      <c r="I89" s="23">
        <v>2</v>
      </c>
      <c r="J89" s="8" t="s">
        <v>214</v>
      </c>
      <c r="K89" s="8">
        <v>4</v>
      </c>
      <c r="L89" s="9" t="s">
        <v>228</v>
      </c>
      <c r="M89" s="10">
        <v>2004</v>
      </c>
      <c r="N89" s="10">
        <f>A89</f>
        <v>4</v>
      </c>
      <c r="O89" s="24">
        <f>E89</f>
        <v>2</v>
      </c>
      <c r="P89" s="24"/>
      <c r="Q89" t="s">
        <v>529</v>
      </c>
    </row>
    <row r="90" spans="1:22" ht="17" x14ac:dyDescent="0.2">
      <c r="A90">
        <v>29</v>
      </c>
      <c r="B90" t="s">
        <v>136</v>
      </c>
      <c r="C90" s="6" t="s">
        <v>259</v>
      </c>
      <c r="E90" s="6">
        <v>2</v>
      </c>
      <c r="G90" s="17" t="s">
        <v>366</v>
      </c>
      <c r="H90" s="7">
        <v>-10</v>
      </c>
      <c r="I90" s="23">
        <v>3</v>
      </c>
      <c r="J90" s="8" t="s">
        <v>228</v>
      </c>
      <c r="K90" s="8">
        <v>4</v>
      </c>
      <c r="L90" s="9" t="s">
        <v>228</v>
      </c>
      <c r="M90" s="10">
        <v>1968</v>
      </c>
      <c r="N90" s="10">
        <f>A90</f>
        <v>29</v>
      </c>
      <c r="O90" s="24">
        <f>E90</f>
        <v>2</v>
      </c>
      <c r="P90" s="24"/>
    </row>
    <row r="91" spans="1:22" x14ac:dyDescent="0.2">
      <c r="A91">
        <v>2</v>
      </c>
      <c r="B91" t="s">
        <v>122</v>
      </c>
      <c r="C91" s="6" t="s">
        <v>259</v>
      </c>
      <c r="E91" s="6">
        <v>2</v>
      </c>
      <c r="F91" s="6" t="s">
        <v>547</v>
      </c>
      <c r="G91" s="6" t="s">
        <v>336</v>
      </c>
      <c r="H91" s="7">
        <v>-10</v>
      </c>
      <c r="I91" s="23">
        <v>3</v>
      </c>
      <c r="K91" s="8">
        <v>4</v>
      </c>
      <c r="M91" s="10">
        <v>1988</v>
      </c>
      <c r="N91" s="10">
        <f>A91</f>
        <v>2</v>
      </c>
      <c r="O91" s="24">
        <f>E91</f>
        <v>2</v>
      </c>
      <c r="P91" s="24"/>
      <c r="Q91" t="s">
        <v>428</v>
      </c>
    </row>
    <row r="92" spans="1:22" x14ac:dyDescent="0.2">
      <c r="A92">
        <v>1</v>
      </c>
      <c r="B92" t="s">
        <v>160</v>
      </c>
      <c r="C92" s="6" t="s">
        <v>345</v>
      </c>
      <c r="D92" s="15" t="s">
        <v>346</v>
      </c>
      <c r="E92" s="6">
        <v>3</v>
      </c>
      <c r="F92" s="15" t="s">
        <v>210</v>
      </c>
      <c r="G92" s="6" t="s">
        <v>328</v>
      </c>
      <c r="H92" s="7">
        <v>78</v>
      </c>
      <c r="I92" s="23">
        <v>3</v>
      </c>
      <c r="J92" s="8" t="s">
        <v>228</v>
      </c>
      <c r="K92" s="8">
        <v>3</v>
      </c>
      <c r="L92" s="9" t="s">
        <v>212</v>
      </c>
      <c r="M92" s="10">
        <v>1998</v>
      </c>
      <c r="N92" s="10">
        <f>A92</f>
        <v>1</v>
      </c>
      <c r="O92" s="24">
        <f>E92</f>
        <v>3</v>
      </c>
      <c r="P92" s="24"/>
      <c r="Q92" t="s">
        <v>573</v>
      </c>
    </row>
    <row r="93" spans="1:22" x14ac:dyDescent="0.2">
      <c r="A93">
        <v>1</v>
      </c>
      <c r="B93" t="s">
        <v>147</v>
      </c>
      <c r="C93" s="6" t="s">
        <v>345</v>
      </c>
      <c r="E93" s="6">
        <v>3</v>
      </c>
      <c r="G93" s="6" t="s">
        <v>222</v>
      </c>
      <c r="H93" s="7">
        <v>-10</v>
      </c>
      <c r="I93" s="23">
        <v>3</v>
      </c>
      <c r="K93" s="8">
        <v>4</v>
      </c>
      <c r="M93" s="10">
        <v>1994</v>
      </c>
      <c r="N93" s="10">
        <f>A93</f>
        <v>1</v>
      </c>
      <c r="O93" s="10">
        <f>E93</f>
        <v>3</v>
      </c>
      <c r="Q93" t="s">
        <v>415</v>
      </c>
      <c r="V93">
        <f>MAX(E:E)</f>
        <v>7</v>
      </c>
    </row>
    <row r="94" spans="1:22" x14ac:dyDescent="0.2">
      <c r="A94">
        <v>12</v>
      </c>
      <c r="B94" t="s">
        <v>54</v>
      </c>
      <c r="C94" s="6" t="s">
        <v>240</v>
      </c>
      <c r="E94" s="6">
        <v>3</v>
      </c>
      <c r="F94" s="6" t="s">
        <v>539</v>
      </c>
      <c r="G94" s="6" t="s">
        <v>222</v>
      </c>
      <c r="H94" s="7">
        <v>44</v>
      </c>
      <c r="I94" s="23">
        <v>1</v>
      </c>
      <c r="J94" s="8" t="s">
        <v>211</v>
      </c>
      <c r="K94" s="8">
        <v>2</v>
      </c>
      <c r="L94" s="9" t="s">
        <v>220</v>
      </c>
      <c r="M94" s="10">
        <v>1974</v>
      </c>
      <c r="N94" s="10">
        <f>A94</f>
        <v>12</v>
      </c>
      <c r="O94" s="24">
        <f>E94</f>
        <v>3</v>
      </c>
      <c r="P94" s="24"/>
      <c r="Q94" t="s">
        <v>489</v>
      </c>
    </row>
    <row r="95" spans="1:22" x14ac:dyDescent="0.2">
      <c r="A95">
        <v>268</v>
      </c>
      <c r="B95" t="s">
        <v>4</v>
      </c>
      <c r="C95" s="6" t="s">
        <v>240</v>
      </c>
      <c r="E95" s="6">
        <v>3</v>
      </c>
      <c r="F95" s="6" t="s">
        <v>222</v>
      </c>
      <c r="G95" s="6" t="s">
        <v>264</v>
      </c>
      <c r="H95" s="7">
        <v>69</v>
      </c>
      <c r="I95" s="23">
        <v>1</v>
      </c>
      <c r="J95" s="8" t="s">
        <v>211</v>
      </c>
      <c r="K95" s="8">
        <v>3</v>
      </c>
      <c r="L95" s="9" t="s">
        <v>212</v>
      </c>
      <c r="M95" s="10">
        <v>1973</v>
      </c>
      <c r="N95" s="10">
        <f>A95</f>
        <v>268</v>
      </c>
      <c r="O95" s="24">
        <f>E95</f>
        <v>3</v>
      </c>
      <c r="P95" s="24"/>
    </row>
    <row r="96" spans="1:22" x14ac:dyDescent="0.2">
      <c r="A96">
        <v>20</v>
      </c>
      <c r="B96" t="s">
        <v>45</v>
      </c>
      <c r="C96" s="6" t="s">
        <v>240</v>
      </c>
      <c r="E96" s="6">
        <v>3</v>
      </c>
      <c r="F96" s="6" t="s">
        <v>539</v>
      </c>
      <c r="G96" s="6" t="s">
        <v>264</v>
      </c>
      <c r="H96" s="7">
        <v>63</v>
      </c>
      <c r="I96" s="23">
        <v>1</v>
      </c>
      <c r="J96" s="8" t="s">
        <v>211</v>
      </c>
      <c r="K96" s="8">
        <v>3</v>
      </c>
      <c r="L96" s="9" t="s">
        <v>212</v>
      </c>
      <c r="M96" s="10">
        <v>1978</v>
      </c>
      <c r="N96" s="10">
        <f>A96</f>
        <v>20</v>
      </c>
      <c r="O96" s="24">
        <f>E96</f>
        <v>3</v>
      </c>
      <c r="P96" s="24"/>
      <c r="Q96" t="s">
        <v>375</v>
      </c>
    </row>
    <row r="97" spans="1:17" x14ac:dyDescent="0.2">
      <c r="A97">
        <f>272+8+4</f>
        <v>284</v>
      </c>
      <c r="B97" t="s">
        <v>3</v>
      </c>
      <c r="C97" s="6" t="s">
        <v>240</v>
      </c>
      <c r="E97" s="6">
        <v>3</v>
      </c>
      <c r="F97" s="6" t="s">
        <v>222</v>
      </c>
      <c r="G97" s="6" t="s">
        <v>222</v>
      </c>
      <c r="H97" s="7">
        <v>51</v>
      </c>
      <c r="I97" s="23">
        <v>1</v>
      </c>
      <c r="J97" s="8" t="s">
        <v>211</v>
      </c>
      <c r="K97" s="8">
        <v>3</v>
      </c>
      <c r="L97" s="9" t="s">
        <v>212</v>
      </c>
      <c r="M97" s="10">
        <v>1974</v>
      </c>
      <c r="N97" s="10">
        <f>A97</f>
        <v>284</v>
      </c>
      <c r="O97" s="24">
        <f>E97</f>
        <v>3</v>
      </c>
      <c r="P97" s="24"/>
      <c r="Q97" t="s">
        <v>498</v>
      </c>
    </row>
    <row r="98" spans="1:17" x14ac:dyDescent="0.2">
      <c r="A98">
        <v>3</v>
      </c>
      <c r="B98" t="s">
        <v>102</v>
      </c>
      <c r="C98" s="6" t="s">
        <v>240</v>
      </c>
      <c r="E98" s="6">
        <v>3</v>
      </c>
      <c r="F98" s="6" t="s">
        <v>539</v>
      </c>
      <c r="G98" s="6" t="s">
        <v>264</v>
      </c>
      <c r="H98" s="7">
        <v>47</v>
      </c>
      <c r="I98" s="23">
        <v>1</v>
      </c>
      <c r="J98" s="8" t="s">
        <v>211</v>
      </c>
      <c r="K98" s="8">
        <v>3</v>
      </c>
      <c r="L98" s="9" t="s">
        <v>212</v>
      </c>
      <c r="M98" s="10">
        <v>1978</v>
      </c>
      <c r="N98" s="10">
        <f>A98</f>
        <v>3</v>
      </c>
      <c r="O98" s="24">
        <f>E98</f>
        <v>3</v>
      </c>
      <c r="P98" s="24"/>
      <c r="Q98" t="s">
        <v>374</v>
      </c>
    </row>
    <row r="99" spans="1:17" x14ac:dyDescent="0.2">
      <c r="A99">
        <v>82</v>
      </c>
      <c r="B99" t="s">
        <v>16</v>
      </c>
      <c r="C99" s="6" t="s">
        <v>240</v>
      </c>
      <c r="D99" s="6" t="s">
        <v>340</v>
      </c>
      <c r="E99" s="6">
        <v>3</v>
      </c>
      <c r="F99" s="6" t="s">
        <v>539</v>
      </c>
      <c r="G99" s="6" t="s">
        <v>210</v>
      </c>
      <c r="H99" s="7">
        <v>54</v>
      </c>
      <c r="I99" s="23">
        <v>1</v>
      </c>
      <c r="J99" s="8" t="s">
        <v>211</v>
      </c>
      <c r="K99" s="8">
        <v>4</v>
      </c>
      <c r="L99" s="9" t="s">
        <v>228</v>
      </c>
      <c r="M99" s="10">
        <v>1981</v>
      </c>
      <c r="N99" s="10">
        <f>A99</f>
        <v>82</v>
      </c>
      <c r="O99" s="24">
        <f>E99</f>
        <v>3</v>
      </c>
      <c r="P99" s="24"/>
    </row>
    <row r="100" spans="1:17" x14ac:dyDescent="0.2">
      <c r="A100">
        <v>26</v>
      </c>
      <c r="B100" t="s">
        <v>36</v>
      </c>
      <c r="C100" s="6" t="s">
        <v>283</v>
      </c>
      <c r="E100" s="6">
        <v>3</v>
      </c>
      <c r="F100" s="6" t="s">
        <v>539</v>
      </c>
      <c r="G100" s="6" t="s">
        <v>246</v>
      </c>
      <c r="H100" s="7">
        <v>74</v>
      </c>
      <c r="I100" s="23">
        <v>1</v>
      </c>
      <c r="J100" s="8" t="s">
        <v>211</v>
      </c>
      <c r="K100" s="8">
        <v>3</v>
      </c>
      <c r="L100" s="9" t="s">
        <v>212</v>
      </c>
      <c r="M100" s="10">
        <v>1977</v>
      </c>
      <c r="N100" s="10">
        <f>A100</f>
        <v>26</v>
      </c>
      <c r="O100" s="24">
        <f>E100</f>
        <v>3</v>
      </c>
      <c r="P100" s="24"/>
      <c r="Q100" t="s">
        <v>492</v>
      </c>
    </row>
    <row r="101" spans="1:17" x14ac:dyDescent="0.2">
      <c r="A101">
        <v>0</v>
      </c>
      <c r="B101" t="s">
        <v>493</v>
      </c>
      <c r="C101" s="6" t="s">
        <v>283</v>
      </c>
      <c r="E101" s="6">
        <v>3</v>
      </c>
      <c r="F101" s="6" t="s">
        <v>539</v>
      </c>
      <c r="G101" s="6" t="s">
        <v>234</v>
      </c>
      <c r="H101" s="7">
        <v>74</v>
      </c>
      <c r="I101" s="23">
        <v>1</v>
      </c>
      <c r="J101" s="8" t="s">
        <v>211</v>
      </c>
      <c r="K101" s="8">
        <v>3</v>
      </c>
      <c r="L101" s="9" t="s">
        <v>212</v>
      </c>
      <c r="M101" s="10">
        <v>1977</v>
      </c>
      <c r="N101" s="10">
        <f>A101</f>
        <v>0</v>
      </c>
      <c r="O101" s="24">
        <f>E101</f>
        <v>3</v>
      </c>
      <c r="P101" s="24"/>
      <c r="Q101" t="s">
        <v>494</v>
      </c>
    </row>
    <row r="102" spans="1:17" x14ac:dyDescent="0.2">
      <c r="A102">
        <v>1</v>
      </c>
      <c r="B102" t="s">
        <v>183</v>
      </c>
      <c r="C102" s="6" t="s">
        <v>329</v>
      </c>
      <c r="E102" s="6">
        <v>3</v>
      </c>
      <c r="G102" s="6" t="s">
        <v>272</v>
      </c>
      <c r="H102" s="7">
        <v>65</v>
      </c>
      <c r="I102" s="23">
        <v>1</v>
      </c>
      <c r="J102" s="8" t="s">
        <v>211</v>
      </c>
      <c r="K102" s="8">
        <v>4</v>
      </c>
      <c r="M102" s="10">
        <v>1988</v>
      </c>
      <c r="N102" s="10">
        <f>A102</f>
        <v>1</v>
      </c>
      <c r="O102" s="24">
        <f>E102</f>
        <v>3</v>
      </c>
      <c r="P102" s="24"/>
    </row>
    <row r="103" spans="1:17" ht="17" x14ac:dyDescent="0.2">
      <c r="A103">
        <v>3</v>
      </c>
      <c r="B103" t="s">
        <v>119</v>
      </c>
      <c r="C103" s="6" t="s">
        <v>408</v>
      </c>
      <c r="E103" s="6">
        <v>4</v>
      </c>
      <c r="F103" s="6" t="s">
        <v>480</v>
      </c>
      <c r="G103" s="17" t="s">
        <v>272</v>
      </c>
      <c r="H103" s="7">
        <v>7</v>
      </c>
      <c r="I103" s="23">
        <v>2</v>
      </c>
      <c r="J103" s="8" t="s">
        <v>214</v>
      </c>
      <c r="K103" s="8">
        <v>2</v>
      </c>
      <c r="L103" s="9" t="s">
        <v>220</v>
      </c>
      <c r="M103" s="10">
        <v>1969</v>
      </c>
      <c r="N103" s="10">
        <f>A103</f>
        <v>3</v>
      </c>
      <c r="O103" s="24">
        <f>E103</f>
        <v>4</v>
      </c>
      <c r="P103" s="24"/>
      <c r="Q103" t="s">
        <v>409</v>
      </c>
    </row>
    <row r="104" spans="1:17" ht="17" x14ac:dyDescent="0.2">
      <c r="A104">
        <v>3</v>
      </c>
      <c r="B104" t="s">
        <v>106</v>
      </c>
      <c r="C104" s="16" t="s">
        <v>271</v>
      </c>
      <c r="E104" s="6">
        <v>4</v>
      </c>
      <c r="F104" s="6" t="s">
        <v>480</v>
      </c>
      <c r="G104" s="6" t="s">
        <v>272</v>
      </c>
      <c r="H104" s="7">
        <v>7</v>
      </c>
      <c r="I104" s="23">
        <v>2</v>
      </c>
      <c r="J104" s="8" t="s">
        <v>214</v>
      </c>
      <c r="K104" s="8">
        <v>2</v>
      </c>
      <c r="L104" s="9" t="s">
        <v>220</v>
      </c>
      <c r="M104" s="10">
        <v>1973</v>
      </c>
      <c r="N104" s="10">
        <f>A104</f>
        <v>3</v>
      </c>
      <c r="O104" s="24">
        <f>E104</f>
        <v>4</v>
      </c>
      <c r="P104" s="24"/>
      <c r="Q104" t="s">
        <v>438</v>
      </c>
    </row>
    <row r="105" spans="1:17" x14ac:dyDescent="0.2">
      <c r="A105">
        <v>53</v>
      </c>
      <c r="B105" t="s">
        <v>21</v>
      </c>
      <c r="C105" s="6" t="s">
        <v>271</v>
      </c>
      <c r="E105" s="6">
        <v>4</v>
      </c>
      <c r="F105" s="6" t="s">
        <v>480</v>
      </c>
      <c r="G105" s="6" t="s">
        <v>272</v>
      </c>
      <c r="H105" s="7">
        <v>3</v>
      </c>
      <c r="I105" s="23">
        <v>2</v>
      </c>
      <c r="J105" s="8" t="s">
        <v>214</v>
      </c>
      <c r="K105" s="8">
        <v>2</v>
      </c>
      <c r="L105" s="9" t="s">
        <v>220</v>
      </c>
      <c r="M105" s="10">
        <v>1964</v>
      </c>
      <c r="N105" s="10">
        <f>A105</f>
        <v>53</v>
      </c>
      <c r="O105" s="24">
        <f>E105</f>
        <v>4</v>
      </c>
      <c r="P105" s="24"/>
      <c r="Q105" t="s">
        <v>475</v>
      </c>
    </row>
    <row r="106" spans="1:17" x14ac:dyDescent="0.2">
      <c r="A106">
        <v>2</v>
      </c>
      <c r="B106" t="s">
        <v>117</v>
      </c>
      <c r="C106" s="6" t="s">
        <v>271</v>
      </c>
      <c r="E106" s="6">
        <v>4</v>
      </c>
      <c r="F106" s="6" t="s">
        <v>480</v>
      </c>
      <c r="G106" s="6" t="s">
        <v>382</v>
      </c>
      <c r="H106" s="7">
        <v>-10</v>
      </c>
      <c r="I106" s="23">
        <v>2</v>
      </c>
      <c r="J106" s="8" t="s">
        <v>214</v>
      </c>
      <c r="K106" s="8">
        <v>4</v>
      </c>
      <c r="L106" s="9" t="s">
        <v>228</v>
      </c>
      <c r="M106" s="10">
        <v>1980</v>
      </c>
      <c r="N106" s="10">
        <f>A106</f>
        <v>2</v>
      </c>
      <c r="O106" s="24">
        <f>E106</f>
        <v>4</v>
      </c>
      <c r="P106" s="24"/>
      <c r="Q106" t="s">
        <v>471</v>
      </c>
    </row>
    <row r="107" spans="1:17" x14ac:dyDescent="0.2">
      <c r="A107">
        <v>2</v>
      </c>
      <c r="B107" t="s">
        <v>140</v>
      </c>
      <c r="C107" s="6" t="s">
        <v>225</v>
      </c>
      <c r="E107" s="6">
        <v>4</v>
      </c>
      <c r="F107" s="6" t="s">
        <v>480</v>
      </c>
      <c r="G107" s="6" t="s">
        <v>357</v>
      </c>
      <c r="H107" s="7">
        <v>16</v>
      </c>
      <c r="I107" s="23">
        <v>2</v>
      </c>
      <c r="J107" s="8" t="s">
        <v>214</v>
      </c>
      <c r="K107" s="8">
        <v>2</v>
      </c>
      <c r="L107" s="9" t="s">
        <v>220</v>
      </c>
      <c r="M107" s="10">
        <v>1967</v>
      </c>
      <c r="N107" s="10">
        <f>A107</f>
        <v>2</v>
      </c>
      <c r="O107" s="24">
        <f>E107</f>
        <v>4</v>
      </c>
      <c r="P107" s="24"/>
      <c r="Q107" t="s">
        <v>364</v>
      </c>
    </row>
    <row r="108" spans="1:17" x14ac:dyDescent="0.2">
      <c r="A108">
        <v>9</v>
      </c>
      <c r="B108" t="s">
        <v>100</v>
      </c>
      <c r="C108" s="6" t="s">
        <v>225</v>
      </c>
      <c r="E108" s="6">
        <v>4</v>
      </c>
      <c r="F108" s="6" t="s">
        <v>338</v>
      </c>
      <c r="G108" s="6" t="s">
        <v>229</v>
      </c>
      <c r="H108" s="7">
        <v>33</v>
      </c>
      <c r="I108" s="23">
        <v>1</v>
      </c>
      <c r="J108" s="8" t="s">
        <v>211</v>
      </c>
      <c r="K108" s="8">
        <v>3</v>
      </c>
      <c r="L108" s="9" t="s">
        <v>212</v>
      </c>
      <c r="M108" s="10">
        <v>1978</v>
      </c>
      <c r="N108" s="10">
        <f>A108</f>
        <v>9</v>
      </c>
      <c r="O108" s="24">
        <f>E108</f>
        <v>4</v>
      </c>
      <c r="P108" s="24"/>
    </row>
    <row r="109" spans="1:17" x14ac:dyDescent="0.2">
      <c r="A109">
        <v>20</v>
      </c>
      <c r="B109" t="s">
        <v>43</v>
      </c>
      <c r="C109" s="6" t="s">
        <v>225</v>
      </c>
      <c r="E109" s="6">
        <v>4</v>
      </c>
      <c r="F109" s="6" t="s">
        <v>338</v>
      </c>
      <c r="G109" s="6" t="s">
        <v>350</v>
      </c>
      <c r="H109" s="7">
        <v>4</v>
      </c>
      <c r="I109" s="23">
        <v>1</v>
      </c>
      <c r="J109" s="8" t="s">
        <v>211</v>
      </c>
      <c r="K109" s="8">
        <v>3</v>
      </c>
      <c r="L109" s="9" t="s">
        <v>212</v>
      </c>
      <c r="M109" s="10">
        <v>1964</v>
      </c>
      <c r="N109" s="10">
        <f>A109</f>
        <v>20</v>
      </c>
      <c r="O109" s="24">
        <f>E109</f>
        <v>4</v>
      </c>
      <c r="P109" s="24"/>
    </row>
    <row r="110" spans="1:17" ht="17" x14ac:dyDescent="0.2">
      <c r="A110">
        <v>21</v>
      </c>
      <c r="B110">
        <v>1301</v>
      </c>
      <c r="C110" s="6" t="s">
        <v>225</v>
      </c>
      <c r="E110" s="6">
        <v>4</v>
      </c>
      <c r="F110" s="6" t="s">
        <v>338</v>
      </c>
      <c r="G110" s="17" t="s">
        <v>272</v>
      </c>
      <c r="H110" s="7">
        <v>4</v>
      </c>
      <c r="I110" s="23">
        <v>1</v>
      </c>
      <c r="J110" s="8" t="s">
        <v>211</v>
      </c>
      <c r="K110" s="8">
        <v>3</v>
      </c>
      <c r="L110" s="9" t="s">
        <v>212</v>
      </c>
      <c r="M110" s="10">
        <v>1979</v>
      </c>
      <c r="N110" s="10">
        <f>A110</f>
        <v>21</v>
      </c>
      <c r="O110" s="24">
        <f>E110</f>
        <v>4</v>
      </c>
      <c r="P110" s="24"/>
      <c r="Q110" s="20" t="s">
        <v>451</v>
      </c>
    </row>
    <row r="111" spans="1:17" x14ac:dyDescent="0.2">
      <c r="A111">
        <v>2</v>
      </c>
      <c r="B111" t="s">
        <v>135</v>
      </c>
      <c r="C111" s="6" t="s">
        <v>225</v>
      </c>
      <c r="E111" s="6">
        <v>4</v>
      </c>
      <c r="F111" s="6" t="s">
        <v>338</v>
      </c>
      <c r="G111" s="6" t="s">
        <v>227</v>
      </c>
      <c r="H111" s="7">
        <v>11</v>
      </c>
      <c r="I111" s="23">
        <v>2</v>
      </c>
      <c r="J111" s="8" t="s">
        <v>214</v>
      </c>
      <c r="K111" s="8">
        <v>3</v>
      </c>
      <c r="L111" s="9" t="s">
        <v>212</v>
      </c>
      <c r="M111" s="10">
        <v>1967</v>
      </c>
      <c r="N111" s="10">
        <f>A111</f>
        <v>2</v>
      </c>
      <c r="O111" s="24">
        <f>E111</f>
        <v>4</v>
      </c>
      <c r="P111" s="24"/>
    </row>
    <row r="112" spans="1:17" x14ac:dyDescent="0.2">
      <c r="A112">
        <v>1</v>
      </c>
      <c r="B112" t="s">
        <v>174</v>
      </c>
      <c r="C112" s="6" t="s">
        <v>225</v>
      </c>
      <c r="E112" s="6">
        <v>4</v>
      </c>
      <c r="F112" s="6" t="s">
        <v>480</v>
      </c>
      <c r="G112" s="18" t="s">
        <v>347</v>
      </c>
      <c r="H112" s="7">
        <v>-10</v>
      </c>
      <c r="I112" s="23">
        <v>3</v>
      </c>
      <c r="J112" s="8" t="s">
        <v>228</v>
      </c>
      <c r="K112" s="8">
        <v>3</v>
      </c>
      <c r="L112" s="9" t="s">
        <v>212</v>
      </c>
      <c r="M112" s="10">
        <v>1987</v>
      </c>
      <c r="N112" s="10">
        <f>A112</f>
        <v>1</v>
      </c>
      <c r="O112" s="24">
        <f>E112</f>
        <v>4</v>
      </c>
      <c r="P112" s="24"/>
      <c r="Q112" t="s">
        <v>504</v>
      </c>
    </row>
    <row r="113" spans="1:17" x14ac:dyDescent="0.2">
      <c r="A113">
        <v>2</v>
      </c>
      <c r="B113" t="s">
        <v>124</v>
      </c>
      <c r="C113" s="6" t="s">
        <v>225</v>
      </c>
      <c r="E113" s="6">
        <v>4</v>
      </c>
      <c r="G113" s="6" t="s">
        <v>357</v>
      </c>
      <c r="H113" s="7">
        <v>53</v>
      </c>
      <c r="I113" s="23">
        <v>2</v>
      </c>
      <c r="J113" s="8" t="s">
        <v>214</v>
      </c>
      <c r="K113" s="8">
        <v>4</v>
      </c>
      <c r="M113" s="10">
        <v>1970</v>
      </c>
      <c r="N113" s="10">
        <f>A113</f>
        <v>2</v>
      </c>
      <c r="O113" s="10">
        <f>E113</f>
        <v>4</v>
      </c>
      <c r="Q113" t="s">
        <v>381</v>
      </c>
    </row>
    <row r="114" spans="1:17" x14ac:dyDescent="0.2">
      <c r="A114">
        <f>11+4+5</f>
        <v>20</v>
      </c>
      <c r="B114" t="s">
        <v>56</v>
      </c>
      <c r="C114" s="6" t="s">
        <v>225</v>
      </c>
      <c r="E114" s="6">
        <v>4</v>
      </c>
      <c r="F114" s="6" t="s">
        <v>338</v>
      </c>
      <c r="G114" s="6" t="s">
        <v>226</v>
      </c>
      <c r="H114" s="7">
        <v>24</v>
      </c>
      <c r="I114" s="23">
        <v>2</v>
      </c>
      <c r="J114" s="8" t="s">
        <v>214</v>
      </c>
      <c r="K114" s="8">
        <v>4</v>
      </c>
      <c r="L114" s="9" t="s">
        <v>228</v>
      </c>
      <c r="M114" s="10">
        <v>1978</v>
      </c>
      <c r="N114" s="10">
        <f>A114</f>
        <v>20</v>
      </c>
      <c r="O114" s="24">
        <f>E114</f>
        <v>4</v>
      </c>
      <c r="P114" s="24"/>
    </row>
    <row r="115" spans="1:17" x14ac:dyDescent="0.2">
      <c r="A115">
        <v>2</v>
      </c>
      <c r="B115" t="s">
        <v>137</v>
      </c>
      <c r="C115" s="6" t="s">
        <v>225</v>
      </c>
      <c r="E115" s="6">
        <v>4</v>
      </c>
      <c r="F115" s="6" t="s">
        <v>338</v>
      </c>
      <c r="G115" s="6" t="s">
        <v>325</v>
      </c>
      <c r="H115" s="7">
        <v>-10</v>
      </c>
      <c r="I115" s="23">
        <v>3</v>
      </c>
      <c r="J115" s="8" t="s">
        <v>207</v>
      </c>
      <c r="K115" s="8">
        <v>4</v>
      </c>
      <c r="L115" s="9" t="s">
        <v>207</v>
      </c>
      <c r="M115" s="10">
        <v>1992</v>
      </c>
      <c r="N115" s="10">
        <f>A115</f>
        <v>2</v>
      </c>
      <c r="O115" s="24">
        <f>E115</f>
        <v>4</v>
      </c>
      <c r="P115" s="24"/>
      <c r="Q115" t="s">
        <v>461</v>
      </c>
    </row>
    <row r="116" spans="1:17" x14ac:dyDescent="0.2">
      <c r="A116">
        <v>35</v>
      </c>
      <c r="B116" t="s">
        <v>29</v>
      </c>
      <c r="C116" s="6" t="s">
        <v>230</v>
      </c>
      <c r="E116" s="6">
        <v>4</v>
      </c>
      <c r="F116" s="6" t="s">
        <v>338</v>
      </c>
      <c r="G116" s="6" t="s">
        <v>266</v>
      </c>
      <c r="H116" s="7">
        <v>35</v>
      </c>
      <c r="I116" s="23">
        <v>2</v>
      </c>
      <c r="J116" s="8" t="s">
        <v>214</v>
      </c>
      <c r="K116" s="8">
        <v>1</v>
      </c>
      <c r="L116" s="9" t="s">
        <v>239</v>
      </c>
      <c r="M116" s="10">
        <v>1987</v>
      </c>
      <c r="N116" s="10">
        <f>A116</f>
        <v>35</v>
      </c>
      <c r="O116" s="24">
        <f>E116</f>
        <v>4</v>
      </c>
      <c r="P116" s="24"/>
      <c r="Q116" t="s">
        <v>487</v>
      </c>
    </row>
    <row r="117" spans="1:17" x14ac:dyDescent="0.2">
      <c r="A117">
        <v>12</v>
      </c>
      <c r="B117" t="s">
        <v>63</v>
      </c>
      <c r="C117" s="6" t="s">
        <v>230</v>
      </c>
      <c r="E117" s="6">
        <v>4</v>
      </c>
      <c r="G117" s="6" t="s">
        <v>232</v>
      </c>
      <c r="H117" s="7">
        <v>62</v>
      </c>
      <c r="I117" s="23">
        <v>1</v>
      </c>
      <c r="J117" s="8" t="s">
        <v>211</v>
      </c>
      <c r="K117" s="8">
        <v>3</v>
      </c>
      <c r="L117" s="9" t="s">
        <v>245</v>
      </c>
      <c r="M117" s="10">
        <v>1990</v>
      </c>
      <c r="N117" s="10">
        <f>A117</f>
        <v>12</v>
      </c>
      <c r="O117" s="10">
        <f>E117</f>
        <v>4</v>
      </c>
      <c r="Q117" t="s">
        <v>572</v>
      </c>
    </row>
    <row r="118" spans="1:17" x14ac:dyDescent="0.2">
      <c r="A118">
        <f>35+37+1</f>
        <v>73</v>
      </c>
      <c r="B118" t="s">
        <v>30</v>
      </c>
      <c r="C118" s="6" t="s">
        <v>230</v>
      </c>
      <c r="E118" s="6">
        <v>4</v>
      </c>
      <c r="F118" s="6" t="s">
        <v>338</v>
      </c>
      <c r="G118" s="6" t="s">
        <v>266</v>
      </c>
      <c r="H118" s="7">
        <v>59</v>
      </c>
      <c r="I118" s="23">
        <v>2</v>
      </c>
      <c r="J118" s="8" t="s">
        <v>214</v>
      </c>
      <c r="K118" s="8">
        <v>3</v>
      </c>
      <c r="L118" s="9" t="s">
        <v>212</v>
      </c>
      <c r="M118" s="10">
        <v>1978</v>
      </c>
      <c r="N118" s="10">
        <f>A118</f>
        <v>73</v>
      </c>
      <c r="O118" s="24">
        <f>E118</f>
        <v>4</v>
      </c>
      <c r="P118" s="24"/>
      <c r="Q118" t="s">
        <v>526</v>
      </c>
    </row>
    <row r="119" spans="1:17" x14ac:dyDescent="0.2">
      <c r="A119">
        <v>59</v>
      </c>
      <c r="B119" t="s">
        <v>18</v>
      </c>
      <c r="C119" s="6" t="s">
        <v>230</v>
      </c>
      <c r="E119" s="6">
        <v>4</v>
      </c>
      <c r="F119" s="6" t="s">
        <v>338</v>
      </c>
      <c r="G119" s="6" t="s">
        <v>301</v>
      </c>
      <c r="H119" s="7">
        <v>59</v>
      </c>
      <c r="I119" s="23">
        <v>2</v>
      </c>
      <c r="J119" s="8" t="s">
        <v>214</v>
      </c>
      <c r="K119" s="8">
        <v>3</v>
      </c>
      <c r="L119" s="9" t="s">
        <v>212</v>
      </c>
      <c r="M119" s="10">
        <v>1978</v>
      </c>
      <c r="N119" s="10">
        <f>A119</f>
        <v>59</v>
      </c>
      <c r="O119" s="24">
        <f>E119</f>
        <v>4</v>
      </c>
      <c r="P119" s="24"/>
    </row>
    <row r="120" spans="1:17" x14ac:dyDescent="0.2">
      <c r="A120">
        <v>501</v>
      </c>
      <c r="B120" t="s">
        <v>2</v>
      </c>
      <c r="C120" s="6" t="s">
        <v>230</v>
      </c>
      <c r="E120" s="6">
        <v>4</v>
      </c>
      <c r="F120" s="6" t="s">
        <v>338</v>
      </c>
      <c r="G120" s="6" t="s">
        <v>238</v>
      </c>
      <c r="H120" s="7">
        <v>53</v>
      </c>
      <c r="I120" s="23">
        <v>1</v>
      </c>
      <c r="J120" s="8" t="s">
        <v>211</v>
      </c>
      <c r="K120" s="8">
        <v>4</v>
      </c>
      <c r="L120" s="9" t="s">
        <v>228</v>
      </c>
      <c r="M120" s="10">
        <v>1975</v>
      </c>
      <c r="N120" s="10">
        <f>A120</f>
        <v>501</v>
      </c>
      <c r="O120" s="24">
        <f>E120</f>
        <v>4</v>
      </c>
      <c r="P120" s="24"/>
    </row>
    <row r="121" spans="1:17" x14ac:dyDescent="0.2">
      <c r="A121">
        <v>9</v>
      </c>
      <c r="B121" t="s">
        <v>77</v>
      </c>
      <c r="C121" s="6" t="s">
        <v>277</v>
      </c>
      <c r="D121" s="6" t="s">
        <v>207</v>
      </c>
      <c r="E121" s="6">
        <v>4</v>
      </c>
      <c r="F121" s="6" t="s">
        <v>338</v>
      </c>
      <c r="G121" s="6" t="s">
        <v>313</v>
      </c>
      <c r="H121" s="7">
        <v>65</v>
      </c>
      <c r="I121" s="23">
        <v>2</v>
      </c>
      <c r="J121" s="8" t="s">
        <v>214</v>
      </c>
      <c r="K121" s="8">
        <v>4</v>
      </c>
      <c r="L121" s="9" t="s">
        <v>228</v>
      </c>
      <c r="M121" s="10">
        <v>1991</v>
      </c>
      <c r="N121" s="10">
        <f>A121</f>
        <v>9</v>
      </c>
      <c r="O121" s="24">
        <f>E121</f>
        <v>4</v>
      </c>
      <c r="P121" s="24"/>
      <c r="Q121" t="s">
        <v>369</v>
      </c>
    </row>
    <row r="122" spans="1:17" x14ac:dyDescent="0.2">
      <c r="A122">
        <v>10</v>
      </c>
      <c r="B122" t="s">
        <v>75</v>
      </c>
      <c r="C122" s="6" t="s">
        <v>230</v>
      </c>
      <c r="E122" s="6">
        <v>4</v>
      </c>
      <c r="F122" s="6" t="s">
        <v>338</v>
      </c>
      <c r="G122" s="18" t="s">
        <v>368</v>
      </c>
      <c r="H122" s="7">
        <v>55</v>
      </c>
      <c r="I122" s="23">
        <v>2</v>
      </c>
      <c r="J122" s="8" t="s">
        <v>214</v>
      </c>
      <c r="K122" s="8">
        <v>4</v>
      </c>
      <c r="L122" s="9" t="s">
        <v>228</v>
      </c>
      <c r="M122" s="10">
        <v>1983</v>
      </c>
      <c r="N122" s="10">
        <f>A122</f>
        <v>10</v>
      </c>
      <c r="O122" s="24">
        <f>E122</f>
        <v>4</v>
      </c>
      <c r="P122" s="24"/>
      <c r="Q122" t="s">
        <v>532</v>
      </c>
    </row>
    <row r="123" spans="1:17" x14ac:dyDescent="0.2">
      <c r="A123">
        <v>1</v>
      </c>
      <c r="B123" t="s">
        <v>168</v>
      </c>
      <c r="C123" s="6" t="s">
        <v>312</v>
      </c>
      <c r="E123" s="6">
        <v>4</v>
      </c>
      <c r="F123" s="6" t="s">
        <v>480</v>
      </c>
      <c r="G123" s="18" t="s">
        <v>370</v>
      </c>
      <c r="H123" s="7">
        <v>3</v>
      </c>
      <c r="I123" s="23">
        <v>2</v>
      </c>
      <c r="J123" s="8" t="s">
        <v>214</v>
      </c>
      <c r="K123" s="8">
        <v>3</v>
      </c>
      <c r="L123" s="9" t="s">
        <v>245</v>
      </c>
      <c r="M123" s="10">
        <v>1975</v>
      </c>
      <c r="N123" s="10">
        <f>A123</f>
        <v>1</v>
      </c>
      <c r="O123" s="24">
        <f>E123</f>
        <v>4</v>
      </c>
      <c r="P123" s="24"/>
      <c r="Q123" t="s">
        <v>505</v>
      </c>
    </row>
    <row r="124" spans="1:17" x14ac:dyDescent="0.2">
      <c r="A124">
        <v>1</v>
      </c>
      <c r="B124" t="s">
        <v>172</v>
      </c>
      <c r="C124" s="6" t="s">
        <v>339</v>
      </c>
      <c r="E124" s="6">
        <v>4</v>
      </c>
      <c r="F124" s="6" t="s">
        <v>545</v>
      </c>
      <c r="G124" s="6" t="s">
        <v>272</v>
      </c>
      <c r="H124" s="7">
        <v>42</v>
      </c>
      <c r="I124" s="23">
        <v>2</v>
      </c>
      <c r="J124" s="8" t="s">
        <v>214</v>
      </c>
      <c r="K124" s="8">
        <v>4</v>
      </c>
      <c r="M124" s="10">
        <v>1990</v>
      </c>
      <c r="N124" s="10">
        <f>A124</f>
        <v>1</v>
      </c>
      <c r="O124" s="24">
        <f>E124</f>
        <v>4</v>
      </c>
      <c r="P124" s="24"/>
      <c r="Q124" t="s">
        <v>371</v>
      </c>
    </row>
    <row r="125" spans="1:17" ht="17" x14ac:dyDescent="0.2">
      <c r="A125">
        <v>4</v>
      </c>
      <c r="B125" t="s">
        <v>89</v>
      </c>
      <c r="C125" s="6" t="s">
        <v>231</v>
      </c>
      <c r="E125" s="6">
        <v>4</v>
      </c>
      <c r="F125" s="6" t="s">
        <v>480</v>
      </c>
      <c r="G125" s="17" t="s">
        <v>272</v>
      </c>
      <c r="H125" s="7">
        <v>11</v>
      </c>
      <c r="I125" s="23">
        <v>2</v>
      </c>
      <c r="J125" s="8" t="s">
        <v>214</v>
      </c>
      <c r="K125" s="8">
        <v>2</v>
      </c>
      <c r="L125" s="9" t="s">
        <v>220</v>
      </c>
      <c r="M125" s="10">
        <v>1963</v>
      </c>
      <c r="N125" s="10">
        <f>A125</f>
        <v>4</v>
      </c>
      <c r="O125" s="24">
        <f>E125</f>
        <v>4</v>
      </c>
      <c r="P125" s="24"/>
      <c r="Q125" t="s">
        <v>403</v>
      </c>
    </row>
    <row r="126" spans="1:17" ht="17" x14ac:dyDescent="0.2">
      <c r="A126">
        <v>1</v>
      </c>
      <c r="B126" t="s">
        <v>156</v>
      </c>
      <c r="C126" s="6" t="s">
        <v>435</v>
      </c>
      <c r="E126" s="6">
        <v>4</v>
      </c>
      <c r="F126" s="6" t="s">
        <v>480</v>
      </c>
      <c r="G126" s="16" t="s">
        <v>431</v>
      </c>
      <c r="H126" s="7">
        <v>7</v>
      </c>
      <c r="I126" s="23">
        <v>2</v>
      </c>
      <c r="J126" s="8" t="s">
        <v>214</v>
      </c>
      <c r="K126" s="8">
        <v>2</v>
      </c>
      <c r="L126" s="9" t="s">
        <v>220</v>
      </c>
      <c r="M126" s="10">
        <v>1967</v>
      </c>
      <c r="N126" s="10">
        <f>A126</f>
        <v>1</v>
      </c>
      <c r="O126" s="24">
        <f>E126</f>
        <v>4</v>
      </c>
      <c r="P126" s="24"/>
      <c r="Q126" t="s">
        <v>434</v>
      </c>
    </row>
    <row r="127" spans="1:17" x14ac:dyDescent="0.2">
      <c r="A127">
        <v>1</v>
      </c>
      <c r="B127" t="s">
        <v>197</v>
      </c>
      <c r="C127" s="6" t="s">
        <v>247</v>
      </c>
      <c r="E127" s="6">
        <v>4</v>
      </c>
      <c r="F127" s="6" t="s">
        <v>338</v>
      </c>
      <c r="G127" s="6" t="s">
        <v>232</v>
      </c>
      <c r="H127" s="7">
        <v>38</v>
      </c>
      <c r="I127" s="23">
        <v>2</v>
      </c>
      <c r="J127" s="8" t="s">
        <v>214</v>
      </c>
      <c r="K127" s="8">
        <v>1</v>
      </c>
      <c r="L127" s="9" t="s">
        <v>239</v>
      </c>
      <c r="M127" s="10">
        <v>1990</v>
      </c>
      <c r="N127" s="10">
        <f>A127</f>
        <v>1</v>
      </c>
      <c r="O127" s="24">
        <f>E127</f>
        <v>4</v>
      </c>
      <c r="P127" s="24"/>
      <c r="Q127" t="s">
        <v>485</v>
      </c>
    </row>
    <row r="128" spans="1:17" x14ac:dyDescent="0.2">
      <c r="A128">
        <v>10</v>
      </c>
      <c r="B128" t="s">
        <v>70</v>
      </c>
      <c r="C128" s="6" t="s">
        <v>247</v>
      </c>
      <c r="E128" s="6">
        <v>4</v>
      </c>
      <c r="F128" s="6" t="s">
        <v>338</v>
      </c>
      <c r="G128" s="6" t="s">
        <v>296</v>
      </c>
      <c r="H128" s="7">
        <v>38</v>
      </c>
      <c r="I128" s="23">
        <v>2</v>
      </c>
      <c r="J128" s="8" t="s">
        <v>214</v>
      </c>
      <c r="K128" s="8">
        <v>1</v>
      </c>
      <c r="L128" s="9" t="s">
        <v>239</v>
      </c>
      <c r="M128" s="10">
        <v>1981</v>
      </c>
      <c r="N128" s="10">
        <f>A128</f>
        <v>10</v>
      </c>
      <c r="O128" s="24">
        <f>E128</f>
        <v>4</v>
      </c>
      <c r="P128" s="24"/>
      <c r="Q128" t="s">
        <v>484</v>
      </c>
    </row>
    <row r="129" spans="1:17" x14ac:dyDescent="0.2">
      <c r="A129">
        <v>1</v>
      </c>
      <c r="B129" t="s">
        <v>163</v>
      </c>
      <c r="C129" s="6" t="s">
        <v>247</v>
      </c>
      <c r="E129" s="6">
        <v>4</v>
      </c>
      <c r="G129" s="6" t="s">
        <v>248</v>
      </c>
      <c r="H129" s="7">
        <v>63</v>
      </c>
      <c r="I129" s="23">
        <v>1</v>
      </c>
      <c r="J129" s="8" t="s">
        <v>211</v>
      </c>
      <c r="K129" s="8">
        <v>3</v>
      </c>
      <c r="L129" s="9" t="s">
        <v>212</v>
      </c>
      <c r="M129" s="10">
        <v>1986</v>
      </c>
      <c r="N129" s="10">
        <f>A129</f>
        <v>1</v>
      </c>
      <c r="O129" s="10">
        <f>E129</f>
        <v>4</v>
      </c>
      <c r="Q129" t="s">
        <v>430</v>
      </c>
    </row>
    <row r="130" spans="1:17" x14ac:dyDescent="0.2">
      <c r="A130">
        <v>158</v>
      </c>
      <c r="B130" t="s">
        <v>9</v>
      </c>
      <c r="C130" s="6" t="s">
        <v>247</v>
      </c>
      <c r="E130" s="6">
        <v>4</v>
      </c>
      <c r="F130" s="6" t="s">
        <v>338</v>
      </c>
      <c r="G130" s="6" t="s">
        <v>232</v>
      </c>
      <c r="H130" s="7">
        <v>36</v>
      </c>
      <c r="I130" s="23">
        <v>1</v>
      </c>
      <c r="J130" s="8" t="s">
        <v>211</v>
      </c>
      <c r="K130" s="8">
        <v>3</v>
      </c>
      <c r="L130" s="9" t="s">
        <v>212</v>
      </c>
      <c r="M130" s="10">
        <v>1977</v>
      </c>
      <c r="N130" s="10">
        <f>A130</f>
        <v>158</v>
      </c>
      <c r="O130" s="24">
        <f>E130</f>
        <v>4</v>
      </c>
      <c r="P130" s="24"/>
    </row>
    <row r="131" spans="1:17" x14ac:dyDescent="0.2">
      <c r="A131">
        <f>11+31</f>
        <v>42</v>
      </c>
      <c r="B131" t="s">
        <v>57</v>
      </c>
      <c r="C131" s="6" t="s">
        <v>247</v>
      </c>
      <c r="E131" s="6">
        <v>4</v>
      </c>
      <c r="G131" s="6" t="s">
        <v>296</v>
      </c>
      <c r="H131" s="7">
        <v>61</v>
      </c>
      <c r="I131" s="23">
        <v>2</v>
      </c>
      <c r="J131" s="8" t="s">
        <v>214</v>
      </c>
      <c r="K131" s="8">
        <v>4</v>
      </c>
      <c r="L131" s="9" t="s">
        <v>228</v>
      </c>
      <c r="M131" s="10">
        <v>1966</v>
      </c>
      <c r="N131" s="10">
        <f>A131</f>
        <v>42</v>
      </c>
      <c r="O131" s="10">
        <f>E131</f>
        <v>4</v>
      </c>
    </row>
    <row r="132" spans="1:17" x14ac:dyDescent="0.2">
      <c r="A132">
        <v>1</v>
      </c>
      <c r="B132" t="s">
        <v>193</v>
      </c>
      <c r="C132" s="6" t="s">
        <v>247</v>
      </c>
      <c r="E132" s="6">
        <v>4</v>
      </c>
      <c r="G132" s="6" t="s">
        <v>289</v>
      </c>
      <c r="H132" s="7">
        <v>61</v>
      </c>
      <c r="I132" s="23">
        <v>2</v>
      </c>
      <c r="J132" s="8" t="s">
        <v>214</v>
      </c>
      <c r="K132" s="8">
        <v>4</v>
      </c>
      <c r="M132" s="10">
        <v>1966</v>
      </c>
      <c r="N132" s="10">
        <f>A132</f>
        <v>1</v>
      </c>
      <c r="O132" s="10">
        <f>E132</f>
        <v>4</v>
      </c>
      <c r="Q132" t="s">
        <v>402</v>
      </c>
    </row>
    <row r="133" spans="1:17" x14ac:dyDescent="0.2">
      <c r="A133">
        <f>1+14+8</f>
        <v>23</v>
      </c>
      <c r="B133" t="s">
        <v>171</v>
      </c>
      <c r="C133" s="6" t="s">
        <v>247</v>
      </c>
      <c r="E133" s="6">
        <v>4</v>
      </c>
      <c r="F133" s="6" t="s">
        <v>338</v>
      </c>
      <c r="G133" s="6" t="s">
        <v>289</v>
      </c>
      <c r="H133" s="7">
        <v>19</v>
      </c>
      <c r="I133" s="23">
        <v>2</v>
      </c>
      <c r="J133" s="8" t="s">
        <v>214</v>
      </c>
      <c r="K133" s="8">
        <v>4</v>
      </c>
      <c r="L133" s="9" t="s">
        <v>228</v>
      </c>
      <c r="M133" s="10">
        <v>1972</v>
      </c>
      <c r="N133" s="10">
        <f>A133</f>
        <v>23</v>
      </c>
      <c r="O133" s="24">
        <f>E133</f>
        <v>4</v>
      </c>
      <c r="P133" s="24"/>
      <c r="Q133" t="s">
        <v>530</v>
      </c>
    </row>
    <row r="134" spans="1:17" x14ac:dyDescent="0.2">
      <c r="A134">
        <v>3</v>
      </c>
      <c r="B134" t="s">
        <v>104</v>
      </c>
      <c r="C134" s="6" t="s">
        <v>247</v>
      </c>
      <c r="E134" s="6">
        <v>4</v>
      </c>
      <c r="F134" s="6" t="s">
        <v>338</v>
      </c>
      <c r="G134" s="6" t="s">
        <v>255</v>
      </c>
      <c r="H134" s="7">
        <v>19</v>
      </c>
      <c r="I134" s="23">
        <v>2</v>
      </c>
      <c r="J134" s="8" t="s">
        <v>214</v>
      </c>
      <c r="K134" s="8">
        <v>4</v>
      </c>
      <c r="L134" s="9" t="s">
        <v>228</v>
      </c>
      <c r="M134" s="10">
        <v>1972</v>
      </c>
      <c r="N134" s="10">
        <f>A134</f>
        <v>3</v>
      </c>
      <c r="O134" s="24">
        <f>E134</f>
        <v>4</v>
      </c>
      <c r="P134" s="24"/>
      <c r="Q134" t="s">
        <v>530</v>
      </c>
    </row>
    <row r="135" spans="1:17" x14ac:dyDescent="0.2">
      <c r="A135">
        <v>2</v>
      </c>
      <c r="B135" t="s">
        <v>129</v>
      </c>
      <c r="C135" s="6" t="s">
        <v>247</v>
      </c>
      <c r="E135" s="6">
        <v>4</v>
      </c>
      <c r="F135" s="6" t="s">
        <v>338</v>
      </c>
      <c r="G135" s="6" t="s">
        <v>207</v>
      </c>
      <c r="H135" s="7">
        <v>14</v>
      </c>
      <c r="I135" s="23">
        <v>2</v>
      </c>
      <c r="J135" s="8" t="s">
        <v>214</v>
      </c>
      <c r="K135" s="8">
        <v>4</v>
      </c>
      <c r="L135" s="9" t="s">
        <v>228</v>
      </c>
      <c r="M135" s="10">
        <v>1977</v>
      </c>
      <c r="N135" s="10">
        <f>A135</f>
        <v>2</v>
      </c>
      <c r="O135" s="24">
        <f>E135</f>
        <v>4</v>
      </c>
      <c r="P135" s="24"/>
      <c r="Q135" t="s">
        <v>534</v>
      </c>
    </row>
    <row r="136" spans="1:17" x14ac:dyDescent="0.2">
      <c r="A136">
        <f>108+19</f>
        <v>127</v>
      </c>
      <c r="B136" t="s">
        <v>13</v>
      </c>
      <c r="C136" s="6" t="s">
        <v>247</v>
      </c>
      <c r="D136" s="6" t="s">
        <v>207</v>
      </c>
      <c r="E136" s="6">
        <v>4</v>
      </c>
      <c r="F136" s="6" t="s">
        <v>338</v>
      </c>
      <c r="G136" s="6" t="s">
        <v>322</v>
      </c>
      <c r="H136" s="7">
        <v>1</v>
      </c>
      <c r="I136" s="23">
        <v>2</v>
      </c>
      <c r="J136" s="8" t="s">
        <v>214</v>
      </c>
      <c r="K136" s="8">
        <v>4</v>
      </c>
      <c r="L136" s="9" t="s">
        <v>228</v>
      </c>
      <c r="M136" s="10">
        <v>1980</v>
      </c>
      <c r="N136" s="10">
        <f>A136</f>
        <v>127</v>
      </c>
      <c r="O136" s="24">
        <f>E136</f>
        <v>4</v>
      </c>
      <c r="P136" s="24"/>
    </row>
    <row r="137" spans="1:17" x14ac:dyDescent="0.2">
      <c r="A137">
        <v>1</v>
      </c>
      <c r="B137" t="s">
        <v>167</v>
      </c>
      <c r="C137" s="6" t="s">
        <v>247</v>
      </c>
      <c r="E137" s="6">
        <v>4</v>
      </c>
      <c r="F137" s="6" t="s">
        <v>338</v>
      </c>
      <c r="G137" s="6" t="s">
        <v>322</v>
      </c>
      <c r="H137" s="7">
        <v>-10</v>
      </c>
      <c r="I137" s="23">
        <v>2</v>
      </c>
      <c r="J137" s="8" t="s">
        <v>214</v>
      </c>
      <c r="K137" s="8">
        <v>4</v>
      </c>
      <c r="L137" s="9" t="s">
        <v>228</v>
      </c>
      <c r="M137" s="10">
        <v>1977</v>
      </c>
      <c r="N137" s="10">
        <f>A137</f>
        <v>1</v>
      </c>
      <c r="O137" s="24">
        <f>E137</f>
        <v>4</v>
      </c>
      <c r="P137" s="24"/>
    </row>
    <row r="138" spans="1:17" x14ac:dyDescent="0.2">
      <c r="A138">
        <v>185</v>
      </c>
      <c r="B138" t="s">
        <v>8</v>
      </c>
      <c r="C138" s="6" t="s">
        <v>249</v>
      </c>
      <c r="E138" s="6">
        <v>4</v>
      </c>
      <c r="F138" s="6" t="s">
        <v>480</v>
      </c>
      <c r="G138" s="6" t="s">
        <v>342</v>
      </c>
      <c r="H138" s="7">
        <v>37</v>
      </c>
      <c r="I138" s="23">
        <v>2</v>
      </c>
      <c r="J138" s="8" t="s">
        <v>214</v>
      </c>
      <c r="K138" s="8">
        <v>3</v>
      </c>
      <c r="L138" s="9" t="s">
        <v>212</v>
      </c>
      <c r="M138" s="10">
        <v>1974</v>
      </c>
      <c r="N138" s="10">
        <f>A138</f>
        <v>185</v>
      </c>
      <c r="O138" s="24">
        <f>E138</f>
        <v>4</v>
      </c>
      <c r="P138" s="24"/>
      <c r="Q138" t="s">
        <v>521</v>
      </c>
    </row>
    <row r="139" spans="1:17" x14ac:dyDescent="0.2">
      <c r="A139">
        <v>9</v>
      </c>
      <c r="B139" t="s">
        <v>64</v>
      </c>
      <c r="C139" s="6" t="s">
        <v>281</v>
      </c>
      <c r="E139" s="6">
        <v>4</v>
      </c>
      <c r="F139" s="6" t="s">
        <v>480</v>
      </c>
      <c r="G139" s="12" t="s">
        <v>311</v>
      </c>
      <c r="H139" s="7">
        <v>54</v>
      </c>
      <c r="I139" s="23">
        <v>2</v>
      </c>
      <c r="J139" s="8" t="s">
        <v>214</v>
      </c>
      <c r="K139" s="8">
        <v>1</v>
      </c>
      <c r="L139" s="9" t="s">
        <v>239</v>
      </c>
      <c r="M139" s="10">
        <v>1981</v>
      </c>
      <c r="N139" s="10">
        <f>A139</f>
        <v>9</v>
      </c>
      <c r="O139" s="24">
        <f>E139</f>
        <v>4</v>
      </c>
      <c r="P139" s="24"/>
      <c r="Q139" t="s">
        <v>483</v>
      </c>
    </row>
    <row r="140" spans="1:17" x14ac:dyDescent="0.2">
      <c r="A140">
        <v>10</v>
      </c>
      <c r="B140" t="s">
        <v>88</v>
      </c>
      <c r="E140" s="6">
        <v>4</v>
      </c>
      <c r="G140" s="6" t="s">
        <v>272</v>
      </c>
      <c r="H140" s="7">
        <v>53</v>
      </c>
      <c r="I140" s="23">
        <v>2</v>
      </c>
      <c r="J140" s="8" t="s">
        <v>214</v>
      </c>
      <c r="K140" s="8">
        <v>3</v>
      </c>
      <c r="L140" s="9" t="s">
        <v>212</v>
      </c>
      <c r="M140" s="10">
        <v>1980</v>
      </c>
      <c r="N140" s="10">
        <f>A140</f>
        <v>10</v>
      </c>
      <c r="O140" s="10">
        <f>E140</f>
        <v>4</v>
      </c>
      <c r="Q140" t="s">
        <v>502</v>
      </c>
    </row>
    <row r="141" spans="1:17" x14ac:dyDescent="0.2">
      <c r="A141">
        <v>1</v>
      </c>
      <c r="B141" t="s">
        <v>143</v>
      </c>
      <c r="E141" s="6">
        <v>4</v>
      </c>
      <c r="F141" s="6" t="s">
        <v>480</v>
      </c>
      <c r="G141" s="6" t="s">
        <v>250</v>
      </c>
      <c r="H141" s="7">
        <v>8</v>
      </c>
      <c r="I141" s="23">
        <v>2</v>
      </c>
      <c r="J141" s="8" t="s">
        <v>214</v>
      </c>
      <c r="K141" s="8">
        <v>3</v>
      </c>
      <c r="L141" s="9" t="s">
        <v>212</v>
      </c>
      <c r="M141" s="10">
        <v>1984</v>
      </c>
      <c r="N141" s="10">
        <f>A141</f>
        <v>1</v>
      </c>
      <c r="O141" s="24">
        <f>E141</f>
        <v>4</v>
      </c>
      <c r="P141" s="24"/>
      <c r="Q141" t="s">
        <v>517</v>
      </c>
    </row>
    <row r="142" spans="1:17" x14ac:dyDescent="0.2">
      <c r="A142">
        <v>9</v>
      </c>
      <c r="B142" t="s">
        <v>68</v>
      </c>
      <c r="E142" s="6">
        <v>4</v>
      </c>
      <c r="F142" s="6" t="s">
        <v>480</v>
      </c>
      <c r="G142" s="6" t="s">
        <v>316</v>
      </c>
      <c r="H142" s="7">
        <v>3</v>
      </c>
      <c r="I142" s="23">
        <v>1</v>
      </c>
      <c r="J142" s="8" t="s">
        <v>211</v>
      </c>
      <c r="K142" s="8">
        <v>4</v>
      </c>
      <c r="L142" s="9" t="s">
        <v>228</v>
      </c>
      <c r="M142" s="10">
        <v>1972</v>
      </c>
      <c r="N142" s="10">
        <f>A142</f>
        <v>9</v>
      </c>
      <c r="O142" s="24">
        <f>E142</f>
        <v>4</v>
      </c>
      <c r="P142" s="24"/>
      <c r="Q142" t="s">
        <v>512</v>
      </c>
    </row>
    <row r="143" spans="1:17" x14ac:dyDescent="0.2">
      <c r="A143">
        <v>1</v>
      </c>
      <c r="B143" t="s">
        <v>192</v>
      </c>
      <c r="C143" s="6" t="s">
        <v>351</v>
      </c>
      <c r="E143" s="6">
        <v>5</v>
      </c>
      <c r="G143" s="6" t="s">
        <v>315</v>
      </c>
      <c r="H143" s="7">
        <v>-10</v>
      </c>
      <c r="I143" s="23">
        <v>1</v>
      </c>
      <c r="J143" s="8" t="s">
        <v>211</v>
      </c>
      <c r="K143" s="8">
        <v>3</v>
      </c>
      <c r="L143" s="9" t="s">
        <v>212</v>
      </c>
      <c r="M143" s="10">
        <v>1995</v>
      </c>
      <c r="N143" s="10">
        <f>A143</f>
        <v>1</v>
      </c>
      <c r="O143" s="10">
        <f>E143</f>
        <v>5</v>
      </c>
    </row>
    <row r="144" spans="1:17" x14ac:dyDescent="0.2">
      <c r="A144">
        <v>4</v>
      </c>
      <c r="B144" t="s">
        <v>90</v>
      </c>
      <c r="C144" s="6" t="s">
        <v>243</v>
      </c>
      <c r="D144" s="6" t="s">
        <v>314</v>
      </c>
      <c r="E144" s="6">
        <v>5</v>
      </c>
      <c r="G144" s="6" t="s">
        <v>246</v>
      </c>
      <c r="H144" s="7">
        <v>32</v>
      </c>
      <c r="I144" s="23">
        <v>1</v>
      </c>
      <c r="J144" s="8" t="s">
        <v>211</v>
      </c>
      <c r="K144" s="8">
        <v>2</v>
      </c>
      <c r="L144" s="9" t="s">
        <v>220</v>
      </c>
      <c r="M144" s="10">
        <v>1983</v>
      </c>
      <c r="N144" s="10">
        <f>A144</f>
        <v>4</v>
      </c>
      <c r="O144" s="10">
        <f>E144</f>
        <v>5</v>
      </c>
      <c r="Q144" t="s">
        <v>514</v>
      </c>
    </row>
    <row r="145" spans="1:17" x14ac:dyDescent="0.2">
      <c r="A145">
        <v>24</v>
      </c>
      <c r="B145" t="s">
        <v>38</v>
      </c>
      <c r="C145" s="6" t="s">
        <v>243</v>
      </c>
      <c r="E145" s="6">
        <v>5</v>
      </c>
      <c r="F145" s="6" t="s">
        <v>538</v>
      </c>
      <c r="G145" s="6" t="s">
        <v>342</v>
      </c>
      <c r="H145" s="7">
        <v>0</v>
      </c>
      <c r="I145" s="23">
        <v>1</v>
      </c>
      <c r="J145" s="8" t="s">
        <v>211</v>
      </c>
      <c r="K145" s="8">
        <v>2</v>
      </c>
      <c r="L145" s="9" t="s">
        <v>220</v>
      </c>
      <c r="M145" s="10">
        <v>1996</v>
      </c>
      <c r="N145" s="10">
        <f>A145</f>
        <v>24</v>
      </c>
      <c r="O145" s="24">
        <f>E145</f>
        <v>5</v>
      </c>
      <c r="P145" s="24"/>
      <c r="Q145" s="25" t="s">
        <v>453</v>
      </c>
    </row>
    <row r="146" spans="1:17" x14ac:dyDescent="0.2">
      <c r="A146">
        <v>1</v>
      </c>
      <c r="B146" t="s">
        <v>148</v>
      </c>
      <c r="C146" s="6" t="s">
        <v>243</v>
      </c>
      <c r="E146" s="6">
        <v>5</v>
      </c>
      <c r="F146" s="6" t="s">
        <v>538</v>
      </c>
      <c r="G146" s="19" t="s">
        <v>433</v>
      </c>
      <c r="H146" s="7">
        <v>65</v>
      </c>
      <c r="I146" s="23">
        <v>2</v>
      </c>
      <c r="J146" s="8" t="s">
        <v>214</v>
      </c>
      <c r="K146" s="8">
        <v>3</v>
      </c>
      <c r="L146" s="9" t="s">
        <v>212</v>
      </c>
      <c r="M146" s="10">
        <v>1975</v>
      </c>
      <c r="N146" s="10">
        <f>A146</f>
        <v>1</v>
      </c>
      <c r="O146" s="10">
        <f>E146</f>
        <v>5</v>
      </c>
      <c r="Q146" t="s">
        <v>393</v>
      </c>
    </row>
    <row r="147" spans="1:17" x14ac:dyDescent="0.2">
      <c r="A147">
        <v>3</v>
      </c>
      <c r="B147" t="s">
        <v>111</v>
      </c>
      <c r="C147" s="6" t="s">
        <v>243</v>
      </c>
      <c r="D147" s="6" t="s">
        <v>324</v>
      </c>
      <c r="E147" s="6">
        <v>5</v>
      </c>
      <c r="F147" s="6" t="s">
        <v>538</v>
      </c>
      <c r="G147" s="6" t="s">
        <v>210</v>
      </c>
      <c r="H147" s="7">
        <v>62</v>
      </c>
      <c r="I147" s="23">
        <v>2</v>
      </c>
      <c r="J147" s="8" t="s">
        <v>214</v>
      </c>
      <c r="K147" s="8">
        <v>3</v>
      </c>
      <c r="L147" s="9" t="s">
        <v>212</v>
      </c>
      <c r="M147" s="10">
        <v>1985</v>
      </c>
      <c r="N147" s="10">
        <f>A147</f>
        <v>3</v>
      </c>
      <c r="O147" s="24">
        <f>E147</f>
        <v>5</v>
      </c>
      <c r="P147" s="24"/>
    </row>
    <row r="148" spans="1:17" ht="17" x14ac:dyDescent="0.2">
      <c r="A148">
        <v>244</v>
      </c>
      <c r="B148" t="s">
        <v>6</v>
      </c>
      <c r="C148" s="6" t="s">
        <v>243</v>
      </c>
      <c r="E148" s="6">
        <v>5</v>
      </c>
      <c r="F148" s="6" t="s">
        <v>538</v>
      </c>
      <c r="G148" s="16" t="s">
        <v>355</v>
      </c>
      <c r="H148" s="7">
        <v>58</v>
      </c>
      <c r="I148" s="23">
        <v>2</v>
      </c>
      <c r="J148" s="8" t="s">
        <v>214</v>
      </c>
      <c r="K148" s="8">
        <v>3</v>
      </c>
      <c r="L148" s="9" t="s">
        <v>212</v>
      </c>
      <c r="M148" s="10">
        <v>1972</v>
      </c>
      <c r="N148" s="10">
        <f>A148</f>
        <v>244</v>
      </c>
      <c r="O148" s="24">
        <f>E148</f>
        <v>5</v>
      </c>
      <c r="P148" s="24"/>
    </row>
    <row r="149" spans="1:17" x14ac:dyDescent="0.2">
      <c r="A149">
        <v>6</v>
      </c>
      <c r="B149" t="s">
        <v>82</v>
      </c>
      <c r="C149" s="6" t="s">
        <v>243</v>
      </c>
      <c r="E149" s="6">
        <v>5</v>
      </c>
      <c r="F149" s="6" t="s">
        <v>538</v>
      </c>
      <c r="G149" s="6" t="s">
        <v>210</v>
      </c>
      <c r="H149" s="7">
        <v>55</v>
      </c>
      <c r="I149" s="23">
        <v>2</v>
      </c>
      <c r="J149" s="8" t="s">
        <v>214</v>
      </c>
      <c r="K149" s="8">
        <v>3</v>
      </c>
      <c r="L149" s="9" t="s">
        <v>212</v>
      </c>
      <c r="M149" s="10">
        <v>1980</v>
      </c>
      <c r="N149" s="10">
        <f>A149</f>
        <v>6</v>
      </c>
      <c r="O149" s="24">
        <f>E149</f>
        <v>5</v>
      </c>
      <c r="P149" s="24"/>
      <c r="Q149" t="s">
        <v>478</v>
      </c>
    </row>
    <row r="150" spans="1:17" x14ac:dyDescent="0.2">
      <c r="A150">
        <v>1</v>
      </c>
      <c r="B150" t="s">
        <v>161</v>
      </c>
      <c r="C150" s="6" t="s">
        <v>243</v>
      </c>
      <c r="D150" s="6" t="s">
        <v>341</v>
      </c>
      <c r="E150" s="6">
        <v>5</v>
      </c>
      <c r="F150" s="6" t="s">
        <v>538</v>
      </c>
      <c r="G150" s="6" t="s">
        <v>210</v>
      </c>
      <c r="H150" s="7">
        <v>52</v>
      </c>
      <c r="I150" s="23">
        <v>2</v>
      </c>
      <c r="J150" s="8" t="s">
        <v>214</v>
      </c>
      <c r="K150" s="8">
        <v>3</v>
      </c>
      <c r="L150" s="9" t="s">
        <v>212</v>
      </c>
      <c r="M150" s="10">
        <v>1990</v>
      </c>
      <c r="N150" s="10">
        <f>A150</f>
        <v>1</v>
      </c>
      <c r="O150" s="24">
        <f>E150</f>
        <v>5</v>
      </c>
      <c r="P150" s="24"/>
    </row>
    <row r="151" spans="1:17" x14ac:dyDescent="0.2">
      <c r="A151">
        <v>1</v>
      </c>
      <c r="B151" t="s">
        <v>195</v>
      </c>
      <c r="C151" s="6" t="s">
        <v>243</v>
      </c>
      <c r="E151" s="6">
        <v>5</v>
      </c>
      <c r="F151" s="6" t="s">
        <v>538</v>
      </c>
      <c r="G151" s="6" t="s">
        <v>244</v>
      </c>
      <c r="H151" s="7">
        <v>47</v>
      </c>
      <c r="I151" s="23">
        <v>2</v>
      </c>
      <c r="J151" s="8" t="s">
        <v>214</v>
      </c>
      <c r="K151" s="8">
        <v>3</v>
      </c>
      <c r="L151" s="9" t="s">
        <v>212</v>
      </c>
      <c r="M151" s="10">
        <v>1975</v>
      </c>
      <c r="N151" s="10">
        <f>A151</f>
        <v>1</v>
      </c>
      <c r="O151" s="24">
        <f>E151</f>
        <v>5</v>
      </c>
      <c r="P151" s="24"/>
    </row>
    <row r="152" spans="1:17" x14ac:dyDescent="0.2">
      <c r="A152">
        <v>56</v>
      </c>
      <c r="B152" t="s">
        <v>19</v>
      </c>
      <c r="C152" s="6" t="s">
        <v>243</v>
      </c>
      <c r="E152" s="6">
        <v>5</v>
      </c>
      <c r="F152" s="6" t="s">
        <v>538</v>
      </c>
      <c r="G152" s="6" t="s">
        <v>293</v>
      </c>
      <c r="H152" s="7">
        <v>1</v>
      </c>
      <c r="I152" s="23">
        <v>2</v>
      </c>
      <c r="J152" s="8" t="s">
        <v>214</v>
      </c>
      <c r="K152" s="8">
        <v>3</v>
      </c>
      <c r="L152" s="9" t="s">
        <v>245</v>
      </c>
      <c r="M152" s="10">
        <v>2009</v>
      </c>
      <c r="N152" s="10">
        <f>A152</f>
        <v>56</v>
      </c>
      <c r="O152" s="24">
        <f>E152</f>
        <v>5</v>
      </c>
      <c r="P152" s="24"/>
      <c r="Q152" t="s">
        <v>452</v>
      </c>
    </row>
    <row r="153" spans="1:17" x14ac:dyDescent="0.2">
      <c r="A153">
        <v>1</v>
      </c>
      <c r="B153" t="s">
        <v>149</v>
      </c>
      <c r="C153" s="6" t="s">
        <v>243</v>
      </c>
      <c r="E153" s="6">
        <v>5</v>
      </c>
      <c r="F153" s="6" t="s">
        <v>538</v>
      </c>
      <c r="G153" s="6" t="s">
        <v>419</v>
      </c>
      <c r="H153" s="7">
        <v>49</v>
      </c>
      <c r="I153" s="23">
        <v>2</v>
      </c>
      <c r="J153" s="8" t="s">
        <v>214</v>
      </c>
      <c r="K153" s="8">
        <v>4</v>
      </c>
      <c r="M153" s="10">
        <v>1991</v>
      </c>
      <c r="N153" s="10">
        <f>A153</f>
        <v>1</v>
      </c>
      <c r="O153" s="24">
        <f>E153</f>
        <v>5</v>
      </c>
      <c r="P153" s="24"/>
      <c r="Q153" t="s">
        <v>432</v>
      </c>
    </row>
    <row r="154" spans="1:17" x14ac:dyDescent="0.2">
      <c r="A154">
        <v>1</v>
      </c>
      <c r="B154" t="s">
        <v>182</v>
      </c>
      <c r="C154" s="6" t="s">
        <v>243</v>
      </c>
      <c r="E154" s="6">
        <v>5</v>
      </c>
      <c r="F154" s="6" t="s">
        <v>538</v>
      </c>
      <c r="G154" s="6" t="s">
        <v>335</v>
      </c>
      <c r="H154" s="7">
        <v>49</v>
      </c>
      <c r="I154" s="23">
        <v>2</v>
      </c>
      <c r="J154" s="8" t="s">
        <v>214</v>
      </c>
      <c r="K154" s="8">
        <v>4</v>
      </c>
      <c r="M154" s="10">
        <v>1991</v>
      </c>
      <c r="N154" s="10">
        <f>A154</f>
        <v>1</v>
      </c>
      <c r="O154" s="24">
        <f>E154</f>
        <v>5</v>
      </c>
      <c r="P154" s="24"/>
      <c r="Q154" t="s">
        <v>420</v>
      </c>
    </row>
    <row r="155" spans="1:17" x14ac:dyDescent="0.2">
      <c r="A155">
        <v>4</v>
      </c>
      <c r="B155" t="s">
        <v>91</v>
      </c>
      <c r="C155" s="6" t="s">
        <v>243</v>
      </c>
      <c r="E155" s="6">
        <v>5</v>
      </c>
      <c r="F155" s="6" t="s">
        <v>538</v>
      </c>
      <c r="G155" s="6" t="s">
        <v>293</v>
      </c>
      <c r="H155" s="7">
        <v>-10</v>
      </c>
      <c r="I155" s="23">
        <v>2</v>
      </c>
      <c r="J155" s="8" t="s">
        <v>214</v>
      </c>
      <c r="K155" s="8">
        <v>4</v>
      </c>
      <c r="M155" s="10">
        <v>1981</v>
      </c>
      <c r="N155" s="10">
        <f>A155</f>
        <v>4</v>
      </c>
      <c r="O155" s="24">
        <f>E155</f>
        <v>5</v>
      </c>
      <c r="P155" s="24"/>
      <c r="Q155" t="s">
        <v>413</v>
      </c>
    </row>
    <row r="156" spans="1:17" x14ac:dyDescent="0.2">
      <c r="A156">
        <v>3</v>
      </c>
      <c r="B156" t="s">
        <v>132</v>
      </c>
      <c r="C156" s="6" t="s">
        <v>243</v>
      </c>
      <c r="E156" s="6">
        <v>5</v>
      </c>
      <c r="F156" s="6" t="s">
        <v>222</v>
      </c>
      <c r="G156" s="6" t="s">
        <v>335</v>
      </c>
      <c r="H156" s="7">
        <v>-10</v>
      </c>
      <c r="I156" s="23">
        <v>3</v>
      </c>
      <c r="J156" s="8" t="s">
        <v>228</v>
      </c>
      <c r="K156" s="8">
        <v>4</v>
      </c>
      <c r="L156" s="9" t="s">
        <v>228</v>
      </c>
      <c r="M156" s="10">
        <v>1989</v>
      </c>
      <c r="N156" s="10">
        <f>A156</f>
        <v>3</v>
      </c>
      <c r="O156" s="24">
        <f>E156</f>
        <v>5</v>
      </c>
      <c r="P156" s="24"/>
      <c r="Q156" t="s">
        <v>510</v>
      </c>
    </row>
    <row r="157" spans="1:17" x14ac:dyDescent="0.2">
      <c r="A157">
        <v>14</v>
      </c>
      <c r="B157" t="s">
        <v>49</v>
      </c>
      <c r="C157" s="6" t="s">
        <v>243</v>
      </c>
      <c r="E157" s="6">
        <v>5</v>
      </c>
      <c r="F157" s="6" t="s">
        <v>222</v>
      </c>
      <c r="G157" s="6" t="s">
        <v>491</v>
      </c>
      <c r="H157" s="7">
        <v>-10</v>
      </c>
      <c r="I157" s="23">
        <v>3</v>
      </c>
      <c r="J157" s="8" t="s">
        <v>228</v>
      </c>
      <c r="K157" s="8">
        <v>4</v>
      </c>
      <c r="L157" s="9" t="s">
        <v>228</v>
      </c>
      <c r="M157" s="10">
        <v>1986</v>
      </c>
      <c r="N157" s="10">
        <f>A157</f>
        <v>14</v>
      </c>
      <c r="O157" s="24">
        <f>E157</f>
        <v>5</v>
      </c>
      <c r="P157" s="24"/>
      <c r="Q157" t="s">
        <v>509</v>
      </c>
    </row>
    <row r="158" spans="1:17" x14ac:dyDescent="0.2">
      <c r="A158">
        <v>2</v>
      </c>
      <c r="B158" t="s">
        <v>116</v>
      </c>
      <c r="C158" s="6" t="s">
        <v>243</v>
      </c>
      <c r="E158" s="6">
        <v>5</v>
      </c>
      <c r="F158" s="6" t="s">
        <v>538</v>
      </c>
      <c r="G158" s="6" t="s">
        <v>412</v>
      </c>
      <c r="H158" s="7">
        <v>-10</v>
      </c>
      <c r="I158" s="23">
        <v>3</v>
      </c>
      <c r="J158" s="8" t="s">
        <v>207</v>
      </c>
      <c r="K158" s="8">
        <v>4</v>
      </c>
      <c r="L158" s="9" t="s">
        <v>207</v>
      </c>
      <c r="M158" s="10">
        <v>1960</v>
      </c>
      <c r="N158" s="10">
        <f>A158</f>
        <v>2</v>
      </c>
      <c r="O158" s="24">
        <f>E158</f>
        <v>5</v>
      </c>
      <c r="P158" s="24"/>
      <c r="Q158" t="s">
        <v>490</v>
      </c>
    </row>
    <row r="159" spans="1:17" x14ac:dyDescent="0.2">
      <c r="A159">
        <v>1</v>
      </c>
      <c r="B159" t="s">
        <v>158</v>
      </c>
      <c r="C159" s="6" t="s">
        <v>411</v>
      </c>
      <c r="E159" s="6">
        <v>5</v>
      </c>
      <c r="H159" s="7">
        <f>(62+36)/2</f>
        <v>49</v>
      </c>
      <c r="I159" s="23">
        <v>2</v>
      </c>
      <c r="J159" s="8" t="s">
        <v>214</v>
      </c>
      <c r="K159" s="8">
        <v>4</v>
      </c>
      <c r="M159" s="10">
        <v>1991</v>
      </c>
      <c r="N159" s="10">
        <f>A159</f>
        <v>1</v>
      </c>
      <c r="O159" s="24">
        <f>E159</f>
        <v>5</v>
      </c>
      <c r="P159" s="24"/>
      <c r="Q159" t="s">
        <v>410</v>
      </c>
    </row>
    <row r="160" spans="1:17" x14ac:dyDescent="0.2">
      <c r="A160">
        <v>12</v>
      </c>
      <c r="B160" t="s">
        <v>146</v>
      </c>
      <c r="C160" s="6" t="s">
        <v>253</v>
      </c>
      <c r="E160" s="6">
        <v>6</v>
      </c>
      <c r="F160" s="6" t="s">
        <v>537</v>
      </c>
      <c r="G160" s="6" t="s">
        <v>390</v>
      </c>
      <c r="H160" s="7">
        <v>82</v>
      </c>
      <c r="I160" s="23">
        <v>1</v>
      </c>
      <c r="J160" s="8" t="s">
        <v>211</v>
      </c>
      <c r="K160" s="8">
        <v>3</v>
      </c>
      <c r="L160" s="9" t="s">
        <v>212</v>
      </c>
      <c r="M160" s="10">
        <v>1976</v>
      </c>
      <c r="N160" s="10">
        <f>A160</f>
        <v>12</v>
      </c>
      <c r="O160" s="24">
        <f>E160</f>
        <v>6</v>
      </c>
      <c r="P160" s="24"/>
      <c r="Q160" t="s">
        <v>501</v>
      </c>
    </row>
    <row r="161" spans="1:17" x14ac:dyDescent="0.2">
      <c r="A161">
        <v>1</v>
      </c>
      <c r="B161" t="s">
        <v>194</v>
      </c>
      <c r="C161" s="6" t="s">
        <v>253</v>
      </c>
      <c r="E161" s="6">
        <v>6</v>
      </c>
      <c r="F161" s="6" t="s">
        <v>537</v>
      </c>
      <c r="G161" s="6" t="s">
        <v>222</v>
      </c>
      <c r="H161" s="7">
        <v>81</v>
      </c>
      <c r="I161" s="23">
        <v>1</v>
      </c>
      <c r="J161" s="8" t="s">
        <v>211</v>
      </c>
      <c r="K161" s="8">
        <v>3</v>
      </c>
      <c r="L161" s="9" t="s">
        <v>212</v>
      </c>
      <c r="M161" s="10">
        <v>1976</v>
      </c>
      <c r="N161" s="10">
        <f>A161</f>
        <v>1</v>
      </c>
      <c r="O161" s="24">
        <f>E161</f>
        <v>6</v>
      </c>
      <c r="P161" s="24"/>
      <c r="Q161" t="s">
        <v>391</v>
      </c>
    </row>
    <row r="162" spans="1:17" x14ac:dyDescent="0.2">
      <c r="A162">
        <v>26</v>
      </c>
      <c r="B162" t="s">
        <v>35</v>
      </c>
      <c r="C162" s="6" t="s">
        <v>253</v>
      </c>
      <c r="E162" s="6">
        <v>6</v>
      </c>
      <c r="F162" s="6" t="s">
        <v>537</v>
      </c>
      <c r="G162" s="6" t="s">
        <v>258</v>
      </c>
      <c r="H162" s="7">
        <v>58</v>
      </c>
      <c r="I162" s="23">
        <v>1</v>
      </c>
      <c r="J162" s="8" t="s">
        <v>211</v>
      </c>
      <c r="K162" s="8">
        <v>3</v>
      </c>
      <c r="L162" s="9" t="s">
        <v>212</v>
      </c>
      <c r="M162" s="10">
        <v>1980</v>
      </c>
      <c r="N162" s="10">
        <f>A162</f>
        <v>26</v>
      </c>
      <c r="O162" s="24">
        <f>E162</f>
        <v>6</v>
      </c>
      <c r="P162" s="24"/>
      <c r="Q162" t="s">
        <v>496</v>
      </c>
    </row>
    <row r="163" spans="1:17" x14ac:dyDescent="0.2">
      <c r="A163">
        <v>2</v>
      </c>
      <c r="B163" t="s">
        <v>121</v>
      </c>
      <c r="C163" s="6" t="s">
        <v>253</v>
      </c>
      <c r="E163" s="6">
        <v>6</v>
      </c>
      <c r="F163" s="6" t="s">
        <v>537</v>
      </c>
      <c r="G163" s="6" t="s">
        <v>258</v>
      </c>
      <c r="H163" s="7">
        <v>58</v>
      </c>
      <c r="I163" s="23">
        <v>1</v>
      </c>
      <c r="J163" s="8" t="s">
        <v>211</v>
      </c>
      <c r="K163" s="8">
        <v>3</v>
      </c>
      <c r="L163" s="9" t="s">
        <v>212</v>
      </c>
      <c r="M163" s="10">
        <v>1980</v>
      </c>
      <c r="N163" s="10">
        <f>A163</f>
        <v>2</v>
      </c>
      <c r="O163" s="24">
        <f>E163</f>
        <v>6</v>
      </c>
      <c r="P163" s="24"/>
      <c r="Q163" t="s">
        <v>497</v>
      </c>
    </row>
    <row r="164" spans="1:17" x14ac:dyDescent="0.2">
      <c r="A164">
        <v>1</v>
      </c>
      <c r="B164" t="s">
        <v>175</v>
      </c>
      <c r="C164" s="6" t="s">
        <v>253</v>
      </c>
      <c r="D164" s="6" t="s">
        <v>207</v>
      </c>
      <c r="E164" s="6">
        <v>6</v>
      </c>
      <c r="F164" s="6" t="s">
        <v>537</v>
      </c>
      <c r="G164" s="6" t="s">
        <v>258</v>
      </c>
      <c r="H164" s="7">
        <v>51</v>
      </c>
      <c r="I164" s="23">
        <v>1</v>
      </c>
      <c r="J164" s="8" t="s">
        <v>211</v>
      </c>
      <c r="K164" s="8">
        <v>3</v>
      </c>
      <c r="L164" s="9" t="s">
        <v>212</v>
      </c>
      <c r="M164" s="10">
        <v>1976</v>
      </c>
      <c r="N164" s="10">
        <f>A164</f>
        <v>1</v>
      </c>
      <c r="O164" s="24">
        <f>E164</f>
        <v>6</v>
      </c>
      <c r="P164" s="24"/>
      <c r="Q164" t="s">
        <v>386</v>
      </c>
    </row>
    <row r="165" spans="1:17" x14ac:dyDescent="0.2">
      <c r="A165">
        <v>86</v>
      </c>
      <c r="B165" t="s">
        <v>15</v>
      </c>
      <c r="C165" s="6" t="s">
        <v>253</v>
      </c>
      <c r="E165" s="6">
        <v>6</v>
      </c>
      <c r="F165" s="6" t="s">
        <v>537</v>
      </c>
      <c r="G165" s="6" t="s">
        <v>258</v>
      </c>
      <c r="H165" s="7">
        <v>44</v>
      </c>
      <c r="I165" s="23">
        <v>1</v>
      </c>
      <c r="J165" s="8" t="s">
        <v>211</v>
      </c>
      <c r="K165" s="8">
        <v>3</v>
      </c>
      <c r="L165" s="9" t="s">
        <v>212</v>
      </c>
      <c r="M165" s="10">
        <v>1964</v>
      </c>
      <c r="N165" s="10">
        <f>A165</f>
        <v>86</v>
      </c>
      <c r="O165" s="24">
        <f>E165</f>
        <v>6</v>
      </c>
      <c r="P165" s="24"/>
      <c r="Q165" t="s">
        <v>495</v>
      </c>
    </row>
    <row r="166" spans="1:17" x14ac:dyDescent="0.2">
      <c r="A166">
        <v>5</v>
      </c>
      <c r="B166" t="s">
        <v>99</v>
      </c>
      <c r="C166" s="6" t="s">
        <v>253</v>
      </c>
      <c r="E166" s="6">
        <v>6</v>
      </c>
      <c r="F166" s="6" t="s">
        <v>537</v>
      </c>
      <c r="G166" s="6" t="s">
        <v>258</v>
      </c>
      <c r="H166" s="7">
        <v>72</v>
      </c>
      <c r="I166" s="23">
        <v>2</v>
      </c>
      <c r="J166" s="8" t="s">
        <v>214</v>
      </c>
      <c r="K166" s="8">
        <v>3</v>
      </c>
      <c r="L166" s="9" t="s">
        <v>212</v>
      </c>
      <c r="M166" s="10">
        <v>1977</v>
      </c>
      <c r="N166" s="10">
        <f>A166</f>
        <v>5</v>
      </c>
      <c r="O166" s="24">
        <f>E166</f>
        <v>6</v>
      </c>
      <c r="P166" s="24"/>
    </row>
    <row r="167" spans="1:17" x14ac:dyDescent="0.2">
      <c r="A167">
        <v>22</v>
      </c>
      <c r="B167" t="s">
        <v>40</v>
      </c>
      <c r="C167" s="6" t="s">
        <v>253</v>
      </c>
      <c r="E167" s="6">
        <v>6</v>
      </c>
      <c r="F167" s="6" t="s">
        <v>537</v>
      </c>
      <c r="G167" s="6" t="s">
        <v>309</v>
      </c>
      <c r="H167" s="7">
        <v>70</v>
      </c>
      <c r="I167" s="23">
        <v>2</v>
      </c>
      <c r="J167" s="8" t="s">
        <v>214</v>
      </c>
      <c r="K167" s="8">
        <v>3</v>
      </c>
      <c r="L167" s="9" t="s">
        <v>212</v>
      </c>
      <c r="M167" s="10">
        <v>1978</v>
      </c>
      <c r="N167" s="10">
        <f>A167</f>
        <v>22</v>
      </c>
      <c r="O167" s="24">
        <f>E167</f>
        <v>6</v>
      </c>
      <c r="P167" s="24"/>
    </row>
    <row r="168" spans="1:17" x14ac:dyDescent="0.2">
      <c r="A168">
        <v>6</v>
      </c>
      <c r="B168" t="s">
        <v>107</v>
      </c>
      <c r="C168" s="6" t="s">
        <v>253</v>
      </c>
      <c r="E168" s="6">
        <v>6</v>
      </c>
      <c r="F168" s="6" t="s">
        <v>537</v>
      </c>
      <c r="G168" s="6" t="s">
        <v>309</v>
      </c>
      <c r="H168" s="7">
        <v>70</v>
      </c>
      <c r="I168" s="23">
        <v>2</v>
      </c>
      <c r="J168" s="8" t="s">
        <v>214</v>
      </c>
      <c r="K168" s="8">
        <v>3</v>
      </c>
      <c r="L168" s="9" t="s">
        <v>212</v>
      </c>
      <c r="M168" s="10">
        <v>1978</v>
      </c>
      <c r="N168" s="10">
        <f>A168</f>
        <v>6</v>
      </c>
      <c r="O168" s="24">
        <f>E168</f>
        <v>6</v>
      </c>
      <c r="P168" s="24"/>
      <c r="Q168" t="s">
        <v>362</v>
      </c>
    </row>
    <row r="169" spans="1:17" ht="17" x14ac:dyDescent="0.2">
      <c r="A169">
        <v>1</v>
      </c>
      <c r="B169" t="s">
        <v>170</v>
      </c>
      <c r="C169" s="6" t="s">
        <v>253</v>
      </c>
      <c r="E169" s="6">
        <v>6</v>
      </c>
      <c r="F169" s="6" t="s">
        <v>537</v>
      </c>
      <c r="G169" s="14" t="s">
        <v>258</v>
      </c>
      <c r="H169" s="7">
        <v>70</v>
      </c>
      <c r="I169" s="23">
        <v>2</v>
      </c>
      <c r="J169" s="8" t="s">
        <v>214</v>
      </c>
      <c r="K169" s="8">
        <v>3</v>
      </c>
      <c r="L169" s="9" t="s">
        <v>212</v>
      </c>
      <c r="M169" s="10">
        <v>1978</v>
      </c>
      <c r="N169" s="10">
        <f>A169</f>
        <v>1</v>
      </c>
      <c r="O169" s="24">
        <f>E169</f>
        <v>6</v>
      </c>
      <c r="P169" s="24"/>
      <c r="Q169" t="s">
        <v>363</v>
      </c>
    </row>
    <row r="170" spans="1:17" x14ac:dyDescent="0.2">
      <c r="A170">
        <f>5+43</f>
        <v>48</v>
      </c>
      <c r="B170" t="s">
        <v>126</v>
      </c>
      <c r="C170" s="6" t="s">
        <v>253</v>
      </c>
      <c r="E170" s="6">
        <v>6</v>
      </c>
      <c r="F170" s="6" t="s">
        <v>537</v>
      </c>
      <c r="H170" s="7">
        <v>51</v>
      </c>
      <c r="I170" s="23">
        <v>2</v>
      </c>
      <c r="J170" s="8" t="s">
        <v>214</v>
      </c>
      <c r="K170" s="8">
        <v>3</v>
      </c>
      <c r="L170" s="9" t="s">
        <v>212</v>
      </c>
      <c r="M170" s="10">
        <v>1976</v>
      </c>
      <c r="N170" s="10">
        <f>A170</f>
        <v>48</v>
      </c>
      <c r="O170" s="24">
        <f>E170</f>
        <v>6</v>
      </c>
      <c r="P170" s="24"/>
      <c r="Q170" t="s">
        <v>524</v>
      </c>
    </row>
    <row r="171" spans="1:17" x14ac:dyDescent="0.2">
      <c r="A171">
        <f>4+89</f>
        <v>93</v>
      </c>
      <c r="B171" t="s">
        <v>115</v>
      </c>
      <c r="C171" s="6" t="s">
        <v>253</v>
      </c>
      <c r="E171" s="6">
        <v>6</v>
      </c>
      <c r="F171" s="6" t="s">
        <v>537</v>
      </c>
      <c r="G171" s="6" t="s">
        <v>258</v>
      </c>
      <c r="H171" s="7">
        <v>50</v>
      </c>
      <c r="I171" s="23">
        <v>2</v>
      </c>
      <c r="J171" s="8" t="s">
        <v>214</v>
      </c>
      <c r="K171" s="8">
        <v>3</v>
      </c>
      <c r="L171" s="9" t="s">
        <v>212</v>
      </c>
      <c r="M171" s="10">
        <v>1976</v>
      </c>
      <c r="N171" s="10">
        <f>A171</f>
        <v>93</v>
      </c>
      <c r="O171" s="24">
        <f>E171</f>
        <v>6</v>
      </c>
      <c r="P171" s="24"/>
      <c r="Q171" t="s">
        <v>523</v>
      </c>
    </row>
    <row r="172" spans="1:17" x14ac:dyDescent="0.2">
      <c r="A172">
        <v>11</v>
      </c>
      <c r="B172" t="s">
        <v>58</v>
      </c>
      <c r="C172" s="6" t="s">
        <v>253</v>
      </c>
      <c r="E172" s="6">
        <v>6</v>
      </c>
      <c r="F172" s="6" t="s">
        <v>537</v>
      </c>
      <c r="G172" s="6" t="s">
        <v>309</v>
      </c>
      <c r="H172" s="7">
        <v>78</v>
      </c>
      <c r="I172" s="23">
        <v>1</v>
      </c>
      <c r="J172" s="8" t="s">
        <v>211</v>
      </c>
      <c r="K172" s="8">
        <v>4</v>
      </c>
      <c r="L172" s="9" t="s">
        <v>228</v>
      </c>
      <c r="M172" s="10">
        <v>1974</v>
      </c>
      <c r="N172" s="10">
        <f>A172</f>
        <v>11</v>
      </c>
      <c r="O172" s="24">
        <f>E172</f>
        <v>6</v>
      </c>
      <c r="P172" s="24"/>
      <c r="Q172" t="s">
        <v>516</v>
      </c>
    </row>
    <row r="173" spans="1:17" x14ac:dyDescent="0.2">
      <c r="A173">
        <v>2</v>
      </c>
      <c r="B173" t="s">
        <v>176</v>
      </c>
      <c r="C173" s="6" t="s">
        <v>253</v>
      </c>
      <c r="E173" s="6">
        <v>6</v>
      </c>
      <c r="F173" s="6" t="s">
        <v>222</v>
      </c>
      <c r="G173" s="6" t="s">
        <v>258</v>
      </c>
      <c r="H173" s="7">
        <v>58</v>
      </c>
      <c r="I173" s="23">
        <v>1</v>
      </c>
      <c r="J173" s="8" t="s">
        <v>211</v>
      </c>
      <c r="K173" s="8">
        <v>4</v>
      </c>
      <c r="L173" s="9" t="s">
        <v>228</v>
      </c>
      <c r="M173" s="27">
        <v>1993</v>
      </c>
      <c r="N173" s="10">
        <f>A173</f>
        <v>2</v>
      </c>
      <c r="O173" s="24">
        <f>E173</f>
        <v>6</v>
      </c>
      <c r="P173" s="24"/>
      <c r="Q173" t="s">
        <v>479</v>
      </c>
    </row>
    <row r="174" spans="1:17" x14ac:dyDescent="0.2">
      <c r="A174">
        <v>16</v>
      </c>
      <c r="B174" t="s">
        <v>47</v>
      </c>
      <c r="C174" s="6" t="s">
        <v>253</v>
      </c>
      <c r="E174" s="6">
        <v>6</v>
      </c>
      <c r="F174" s="6" t="s">
        <v>537</v>
      </c>
      <c r="G174" s="6" t="s">
        <v>254</v>
      </c>
      <c r="H174" s="7">
        <v>72</v>
      </c>
      <c r="I174" s="23">
        <v>2</v>
      </c>
      <c r="J174" s="8" t="s">
        <v>214</v>
      </c>
      <c r="K174" s="8">
        <v>4</v>
      </c>
      <c r="L174" s="9" t="s">
        <v>228</v>
      </c>
      <c r="M174" s="27">
        <v>1982</v>
      </c>
      <c r="N174" s="10">
        <f>A174</f>
        <v>16</v>
      </c>
      <c r="O174" s="24">
        <f>E174</f>
        <v>6</v>
      </c>
      <c r="P174" s="24"/>
      <c r="Q174" t="s">
        <v>533</v>
      </c>
    </row>
    <row r="175" spans="1:17" x14ac:dyDescent="0.2">
      <c r="A175">
        <f>2+3+4</f>
        <v>9</v>
      </c>
      <c r="B175" t="s">
        <v>125</v>
      </c>
      <c r="C175" s="6" t="s">
        <v>253</v>
      </c>
      <c r="E175" s="6">
        <v>6</v>
      </c>
      <c r="F175" s="6" t="s">
        <v>537</v>
      </c>
      <c r="H175" s="7">
        <v>67</v>
      </c>
      <c r="I175" s="23">
        <v>2</v>
      </c>
      <c r="J175" s="8" t="s">
        <v>214</v>
      </c>
      <c r="K175" s="8">
        <v>4</v>
      </c>
      <c r="L175" s="9" t="s">
        <v>228</v>
      </c>
      <c r="M175" s="10">
        <v>1974</v>
      </c>
      <c r="N175" s="10">
        <f>A175</f>
        <v>9</v>
      </c>
      <c r="O175" s="24">
        <f>E175</f>
        <v>6</v>
      </c>
      <c r="P175" s="24"/>
      <c r="Q175" t="s">
        <v>459</v>
      </c>
    </row>
    <row r="176" spans="1:17" x14ac:dyDescent="0.2">
      <c r="A176">
        <v>24</v>
      </c>
      <c r="B176" t="s">
        <v>37</v>
      </c>
      <c r="C176" s="6" t="s">
        <v>253</v>
      </c>
      <c r="E176" s="6">
        <v>6</v>
      </c>
      <c r="F176" s="6" t="s">
        <v>537</v>
      </c>
      <c r="G176" s="6" t="s">
        <v>258</v>
      </c>
      <c r="H176" s="7">
        <v>56</v>
      </c>
      <c r="I176" s="23">
        <v>2</v>
      </c>
      <c r="J176" s="8" t="s">
        <v>214</v>
      </c>
      <c r="K176" s="8">
        <v>4</v>
      </c>
      <c r="L176" s="9" t="s">
        <v>212</v>
      </c>
      <c r="M176" s="27">
        <v>1971</v>
      </c>
      <c r="N176" s="10">
        <f>A176</f>
        <v>24</v>
      </c>
      <c r="O176" s="24">
        <f>E176</f>
        <v>6</v>
      </c>
      <c r="P176" s="24"/>
      <c r="Q176" t="s">
        <v>508</v>
      </c>
    </row>
    <row r="177" spans="1:17" x14ac:dyDescent="0.2">
      <c r="A177">
        <v>2</v>
      </c>
      <c r="B177" t="s">
        <v>128</v>
      </c>
      <c r="C177" s="6" t="s">
        <v>253</v>
      </c>
      <c r="E177" s="6">
        <v>6</v>
      </c>
      <c r="G177" s="6" t="s">
        <v>474</v>
      </c>
      <c r="H177" s="7">
        <v>34</v>
      </c>
      <c r="I177" s="23">
        <v>2</v>
      </c>
      <c r="J177" s="8" t="s">
        <v>214</v>
      </c>
      <c r="K177" s="8">
        <v>4</v>
      </c>
      <c r="M177" s="27">
        <v>1985</v>
      </c>
      <c r="N177" s="10">
        <f>A177</f>
        <v>2</v>
      </c>
      <c r="O177" s="10">
        <f>E177</f>
        <v>6</v>
      </c>
      <c r="Q177" t="s">
        <v>421</v>
      </c>
    </row>
    <row r="178" spans="1:17" x14ac:dyDescent="0.2">
      <c r="A178">
        <f>36+25</f>
        <v>61</v>
      </c>
      <c r="B178" t="s">
        <v>27</v>
      </c>
      <c r="C178" s="6" t="s">
        <v>253</v>
      </c>
      <c r="E178" s="6">
        <v>6</v>
      </c>
      <c r="F178" s="6" t="s">
        <v>537</v>
      </c>
      <c r="G178" s="6" t="s">
        <v>258</v>
      </c>
      <c r="H178" s="7">
        <v>-10</v>
      </c>
      <c r="I178" s="23">
        <v>2</v>
      </c>
      <c r="J178" s="8" t="s">
        <v>214</v>
      </c>
      <c r="K178" s="8">
        <v>4</v>
      </c>
      <c r="L178" s="9" t="s">
        <v>207</v>
      </c>
      <c r="M178" s="10">
        <v>1979</v>
      </c>
      <c r="N178" s="10">
        <f>A178</f>
        <v>61</v>
      </c>
      <c r="O178" s="24">
        <f>E178</f>
        <v>6</v>
      </c>
      <c r="P178" s="24"/>
      <c r="Q178" t="s">
        <v>473</v>
      </c>
    </row>
    <row r="179" spans="1:17" x14ac:dyDescent="0.2">
      <c r="A179">
        <v>2</v>
      </c>
      <c r="B179" t="s">
        <v>162</v>
      </c>
      <c r="C179" s="6" t="s">
        <v>253</v>
      </c>
      <c r="E179" s="6">
        <v>6</v>
      </c>
      <c r="F179" s="6" t="s">
        <v>537</v>
      </c>
      <c r="G179" s="6" t="s">
        <v>254</v>
      </c>
      <c r="H179" s="7">
        <v>-10</v>
      </c>
      <c r="I179" s="23">
        <v>2</v>
      </c>
      <c r="J179" s="8" t="s">
        <v>214</v>
      </c>
      <c r="K179" s="8">
        <v>4</v>
      </c>
      <c r="L179" s="9" t="s">
        <v>228</v>
      </c>
      <c r="M179" s="10">
        <v>1968</v>
      </c>
      <c r="N179" s="10">
        <f>A179</f>
        <v>2</v>
      </c>
      <c r="O179" s="24">
        <f>E179</f>
        <v>6</v>
      </c>
      <c r="P179" s="24"/>
      <c r="Q179" t="s">
        <v>472</v>
      </c>
    </row>
    <row r="180" spans="1:17" ht="17" x14ac:dyDescent="0.2">
      <c r="A180">
        <f>13+142+33</f>
        <v>188</v>
      </c>
      <c r="B180" t="s">
        <v>51</v>
      </c>
      <c r="C180" s="6" t="s">
        <v>253</v>
      </c>
      <c r="E180" s="6">
        <v>6</v>
      </c>
      <c r="F180" s="6" t="s">
        <v>537</v>
      </c>
      <c r="G180" s="17" t="s">
        <v>446</v>
      </c>
      <c r="H180" s="7">
        <v>-10</v>
      </c>
      <c r="I180" s="23">
        <v>2</v>
      </c>
      <c r="J180" s="8" t="s">
        <v>214</v>
      </c>
      <c r="K180" s="8">
        <v>4</v>
      </c>
      <c r="M180" s="10">
        <v>1981</v>
      </c>
      <c r="N180" s="10">
        <f>A180</f>
        <v>188</v>
      </c>
      <c r="O180" s="24">
        <f>E180</f>
        <v>6</v>
      </c>
      <c r="P180" s="24"/>
    </row>
    <row r="181" spans="1:17" x14ac:dyDescent="0.2">
      <c r="A181">
        <f>2+9+9</f>
        <v>20</v>
      </c>
      <c r="B181" t="s">
        <v>141</v>
      </c>
      <c r="C181" s="6" t="s">
        <v>253</v>
      </c>
      <c r="E181" s="6">
        <v>6</v>
      </c>
      <c r="F181" s="6" t="s">
        <v>537</v>
      </c>
      <c r="G181" s="6" t="s">
        <v>318</v>
      </c>
      <c r="H181" s="7">
        <v>-10</v>
      </c>
      <c r="I181" s="23">
        <v>2</v>
      </c>
      <c r="J181" s="8" t="s">
        <v>214</v>
      </c>
      <c r="K181" s="8">
        <v>4</v>
      </c>
      <c r="M181" s="10">
        <v>1979</v>
      </c>
      <c r="N181" s="10">
        <f>A181</f>
        <v>20</v>
      </c>
      <c r="O181" s="24">
        <f>E181</f>
        <v>6</v>
      </c>
      <c r="P181" s="24"/>
      <c r="Q181" t="s">
        <v>445</v>
      </c>
    </row>
    <row r="182" spans="1:17" x14ac:dyDescent="0.2">
      <c r="A182">
        <v>1</v>
      </c>
      <c r="B182" t="s">
        <v>190</v>
      </c>
      <c r="C182" s="6" t="s">
        <v>253</v>
      </c>
      <c r="E182" s="6">
        <v>6</v>
      </c>
      <c r="F182" s="6" t="s">
        <v>537</v>
      </c>
      <c r="G182" s="6" t="s">
        <v>222</v>
      </c>
      <c r="H182" s="7">
        <v>-10</v>
      </c>
      <c r="I182" s="23">
        <v>2</v>
      </c>
      <c r="J182" s="8" t="s">
        <v>214</v>
      </c>
      <c r="K182" s="8">
        <v>4</v>
      </c>
      <c r="M182" s="10">
        <v>1986</v>
      </c>
      <c r="N182" s="10">
        <f>A182</f>
        <v>1</v>
      </c>
      <c r="O182" s="24">
        <f>E182</f>
        <v>6</v>
      </c>
      <c r="P182" s="24"/>
    </row>
    <row r="183" spans="1:17" x14ac:dyDescent="0.2">
      <c r="A183">
        <v>5</v>
      </c>
      <c r="B183" t="s">
        <v>87</v>
      </c>
      <c r="C183" s="6" t="s">
        <v>253</v>
      </c>
      <c r="E183" s="6">
        <v>6</v>
      </c>
      <c r="F183" s="6" t="s">
        <v>222</v>
      </c>
      <c r="H183" s="7">
        <v>-10</v>
      </c>
      <c r="I183" s="23">
        <v>3</v>
      </c>
      <c r="K183" s="8">
        <v>4</v>
      </c>
      <c r="M183" s="10">
        <v>1986</v>
      </c>
      <c r="N183" s="10">
        <f>A183</f>
        <v>5</v>
      </c>
      <c r="O183" s="24">
        <f>E183</f>
        <v>6</v>
      </c>
      <c r="P183" s="24"/>
      <c r="Q183" t="s">
        <v>447</v>
      </c>
    </row>
    <row r="184" spans="1:17" x14ac:dyDescent="0.2">
      <c r="A184">
        <v>6</v>
      </c>
      <c r="B184" t="s">
        <v>78</v>
      </c>
      <c r="C184" s="6" t="s">
        <v>290</v>
      </c>
      <c r="E184" s="6">
        <v>6</v>
      </c>
      <c r="G184" s="6" t="s">
        <v>222</v>
      </c>
      <c r="H184" s="7">
        <v>84</v>
      </c>
      <c r="I184" s="23">
        <v>2</v>
      </c>
      <c r="J184" s="8" t="s">
        <v>214</v>
      </c>
      <c r="K184" s="8">
        <v>4</v>
      </c>
      <c r="L184" s="9" t="s">
        <v>228</v>
      </c>
      <c r="M184" s="10">
        <v>1980</v>
      </c>
      <c r="N184" s="10">
        <f>A184</f>
        <v>6</v>
      </c>
      <c r="O184" s="10">
        <f>E184</f>
        <v>6</v>
      </c>
      <c r="Q184" t="s">
        <v>503</v>
      </c>
    </row>
    <row r="185" spans="1:17" x14ac:dyDescent="0.2">
      <c r="A185">
        <v>10</v>
      </c>
      <c r="B185" t="s">
        <v>59</v>
      </c>
      <c r="C185" s="6" t="s">
        <v>299</v>
      </c>
      <c r="D185" s="6" t="s">
        <v>343</v>
      </c>
      <c r="E185" s="6">
        <v>6</v>
      </c>
      <c r="G185" s="6" t="s">
        <v>246</v>
      </c>
      <c r="H185" s="7">
        <v>59</v>
      </c>
      <c r="I185" s="23">
        <v>2</v>
      </c>
      <c r="J185" s="8" t="s">
        <v>214</v>
      </c>
      <c r="K185" s="8">
        <v>3</v>
      </c>
      <c r="L185" s="9" t="s">
        <v>212</v>
      </c>
      <c r="M185" s="10">
        <v>1997</v>
      </c>
      <c r="N185" s="10">
        <f>A185</f>
        <v>10</v>
      </c>
      <c r="O185" s="10">
        <f>E185</f>
        <v>6</v>
      </c>
    </row>
    <row r="186" spans="1:17" x14ac:dyDescent="0.2">
      <c r="A186">
        <v>2</v>
      </c>
      <c r="B186" t="s">
        <v>173</v>
      </c>
      <c r="C186" s="6" t="s">
        <v>299</v>
      </c>
      <c r="E186" s="6">
        <v>6</v>
      </c>
      <c r="F186" s="6" t="s">
        <v>244</v>
      </c>
      <c r="G186" s="6" t="s">
        <v>344</v>
      </c>
      <c r="H186" s="7">
        <v>41</v>
      </c>
      <c r="I186" s="23">
        <v>2</v>
      </c>
      <c r="J186" s="8" t="s">
        <v>214</v>
      </c>
      <c r="K186" s="8">
        <v>3</v>
      </c>
      <c r="L186" s="9" t="s">
        <v>212</v>
      </c>
      <c r="M186" s="26">
        <v>1991</v>
      </c>
      <c r="N186" s="10">
        <f>A186</f>
        <v>2</v>
      </c>
      <c r="O186" s="24">
        <f>E186</f>
        <v>6</v>
      </c>
      <c r="P186" s="24"/>
      <c r="Q186" t="s">
        <v>522</v>
      </c>
    </row>
    <row r="187" spans="1:17" x14ac:dyDescent="0.2">
      <c r="A187">
        <v>4</v>
      </c>
      <c r="B187" t="s">
        <v>96</v>
      </c>
      <c r="C187" s="6" t="s">
        <v>299</v>
      </c>
      <c r="E187" s="6">
        <v>6</v>
      </c>
      <c r="F187" s="6" t="s">
        <v>244</v>
      </c>
      <c r="H187" s="7">
        <v>35</v>
      </c>
      <c r="I187" s="23">
        <v>2</v>
      </c>
      <c r="J187" s="8" t="s">
        <v>214</v>
      </c>
      <c r="K187" s="8">
        <v>4</v>
      </c>
      <c r="L187" s="9" t="s">
        <v>228</v>
      </c>
      <c r="M187" s="26">
        <v>1995</v>
      </c>
      <c r="N187" s="10">
        <f>A187</f>
        <v>4</v>
      </c>
      <c r="O187" s="24">
        <f>E187</f>
        <v>6</v>
      </c>
      <c r="P187" s="24"/>
    </row>
    <row r="188" spans="1:17" ht="17" x14ac:dyDescent="0.2">
      <c r="A188">
        <v>1</v>
      </c>
      <c r="B188" t="s">
        <v>165</v>
      </c>
      <c r="C188" s="6" t="s">
        <v>299</v>
      </c>
      <c r="E188" s="6">
        <v>6</v>
      </c>
      <c r="G188" s="16" t="s">
        <v>385</v>
      </c>
      <c r="H188" s="7">
        <v>-10</v>
      </c>
      <c r="I188" s="23">
        <v>2</v>
      </c>
      <c r="J188" s="8" t="s">
        <v>214</v>
      </c>
      <c r="K188" s="8">
        <v>4</v>
      </c>
      <c r="M188" s="10">
        <v>2009</v>
      </c>
      <c r="N188" s="10">
        <f>A188</f>
        <v>1</v>
      </c>
      <c r="O188" s="10">
        <f>E188</f>
        <v>6</v>
      </c>
      <c r="Q188" t="s">
        <v>401</v>
      </c>
    </row>
    <row r="189" spans="1:17" x14ac:dyDescent="0.2">
      <c r="A189">
        <v>3</v>
      </c>
      <c r="B189" t="s">
        <v>110</v>
      </c>
      <c r="C189" s="6" t="s">
        <v>299</v>
      </c>
      <c r="E189" s="6">
        <v>6</v>
      </c>
      <c r="F189" s="6" t="s">
        <v>244</v>
      </c>
      <c r="G189" s="6" t="s">
        <v>332</v>
      </c>
      <c r="H189" s="7">
        <v>-10</v>
      </c>
      <c r="I189" s="23">
        <v>3</v>
      </c>
      <c r="K189" s="8">
        <v>4</v>
      </c>
      <c r="M189" s="10">
        <v>2001</v>
      </c>
      <c r="N189" s="10">
        <f>A189</f>
        <v>3</v>
      </c>
      <c r="O189" s="24">
        <f>E189</f>
        <v>6</v>
      </c>
      <c r="P189" s="24"/>
      <c r="Q189" t="s">
        <v>407</v>
      </c>
    </row>
    <row r="190" spans="1:17" x14ac:dyDescent="0.2">
      <c r="A190">
        <v>4</v>
      </c>
      <c r="B190" t="s">
        <v>95</v>
      </c>
      <c r="C190" s="6" t="s">
        <v>384</v>
      </c>
      <c r="D190" s="6" t="s">
        <v>207</v>
      </c>
      <c r="E190" s="6">
        <v>6</v>
      </c>
      <c r="F190" s="6" t="s">
        <v>548</v>
      </c>
      <c r="G190" s="6" t="s">
        <v>335</v>
      </c>
      <c r="H190" s="7">
        <v>83</v>
      </c>
      <c r="I190" s="23">
        <v>2</v>
      </c>
      <c r="J190" s="8" t="s">
        <v>214</v>
      </c>
      <c r="K190" s="8">
        <v>3</v>
      </c>
      <c r="L190" s="9" t="s">
        <v>212</v>
      </c>
      <c r="M190" s="10">
        <v>1976</v>
      </c>
      <c r="N190" s="10">
        <f>A190</f>
        <v>4</v>
      </c>
      <c r="O190" s="24">
        <f>E190</f>
        <v>6</v>
      </c>
      <c r="P190" s="24"/>
      <c r="Q190" t="s">
        <v>383</v>
      </c>
    </row>
    <row r="191" spans="1:17" x14ac:dyDescent="0.2">
      <c r="A191">
        <v>2</v>
      </c>
      <c r="B191" t="s">
        <v>152</v>
      </c>
      <c r="C191" s="6" t="s">
        <v>384</v>
      </c>
      <c r="E191" s="6">
        <v>6</v>
      </c>
      <c r="F191" s="6" t="s">
        <v>222</v>
      </c>
      <c r="G191" s="6" t="s">
        <v>279</v>
      </c>
      <c r="H191" s="7">
        <v>66</v>
      </c>
      <c r="I191" s="23">
        <v>2</v>
      </c>
      <c r="J191" s="8" t="s">
        <v>214</v>
      </c>
      <c r="K191" s="8">
        <v>4</v>
      </c>
      <c r="M191" s="10">
        <v>1986</v>
      </c>
      <c r="N191" s="10">
        <f>A191</f>
        <v>2</v>
      </c>
      <c r="O191" s="24">
        <f>E191</f>
        <v>6</v>
      </c>
      <c r="P191" s="24"/>
      <c r="Q191" t="s">
        <v>439</v>
      </c>
    </row>
    <row r="192" spans="1:17" x14ac:dyDescent="0.2">
      <c r="A192">
        <v>10</v>
      </c>
      <c r="B192" t="s">
        <v>62</v>
      </c>
      <c r="C192" s="6" t="s">
        <v>236</v>
      </c>
      <c r="E192" s="6">
        <v>7</v>
      </c>
      <c r="F192" s="6" t="s">
        <v>222</v>
      </c>
      <c r="G192" s="6" t="s">
        <v>222</v>
      </c>
      <c r="H192" s="7">
        <v>64</v>
      </c>
      <c r="I192" s="23">
        <v>1</v>
      </c>
      <c r="J192" s="8" t="s">
        <v>211</v>
      </c>
      <c r="K192" s="8">
        <v>3</v>
      </c>
      <c r="L192" s="9" t="s">
        <v>212</v>
      </c>
      <c r="M192" s="10">
        <v>1973</v>
      </c>
      <c r="N192" s="10">
        <f>A192</f>
        <v>10</v>
      </c>
      <c r="O192" s="24">
        <f>E192</f>
        <v>7</v>
      </c>
      <c r="P192" s="24"/>
    </row>
    <row r="193" spans="1:17" x14ac:dyDescent="0.2">
      <c r="A193">
        <v>39</v>
      </c>
      <c r="B193" t="s">
        <v>24</v>
      </c>
      <c r="C193" s="6" t="s">
        <v>236</v>
      </c>
      <c r="E193" s="6">
        <v>7</v>
      </c>
      <c r="F193" s="6" t="s">
        <v>222</v>
      </c>
      <c r="G193" s="6" t="s">
        <v>237</v>
      </c>
      <c r="H193" s="7">
        <v>64</v>
      </c>
      <c r="I193" s="23">
        <v>1</v>
      </c>
      <c r="J193" s="8" t="s">
        <v>211</v>
      </c>
      <c r="K193" s="8">
        <v>3</v>
      </c>
      <c r="L193" s="9" t="s">
        <v>212</v>
      </c>
      <c r="M193" s="10">
        <v>1973</v>
      </c>
      <c r="N193" s="10">
        <f>A193</f>
        <v>39</v>
      </c>
      <c r="O193" s="24">
        <f>E193</f>
        <v>7</v>
      </c>
      <c r="P193" s="24"/>
      <c r="Q193" t="s">
        <v>392</v>
      </c>
    </row>
    <row r="194" spans="1:17" x14ac:dyDescent="0.2">
      <c r="A194">
        <v>23</v>
      </c>
      <c r="B194" t="s">
        <v>48</v>
      </c>
      <c r="C194" s="6" t="s">
        <v>236</v>
      </c>
      <c r="E194" s="6">
        <v>7</v>
      </c>
      <c r="G194" s="6" t="s">
        <v>222</v>
      </c>
      <c r="H194" s="7">
        <v>12</v>
      </c>
      <c r="I194" s="23">
        <v>1</v>
      </c>
      <c r="J194" s="8" t="s">
        <v>211</v>
      </c>
      <c r="K194" s="8">
        <v>3</v>
      </c>
      <c r="L194" s="9" t="s">
        <v>212</v>
      </c>
      <c r="M194" s="10">
        <v>1974</v>
      </c>
      <c r="N194" s="10">
        <f>A194</f>
        <v>23</v>
      </c>
      <c r="O194" s="10">
        <f>E194</f>
        <v>7</v>
      </c>
    </row>
    <row r="195" spans="1:17" x14ac:dyDescent="0.2">
      <c r="A195">
        <v>1</v>
      </c>
      <c r="B195" t="s">
        <v>180</v>
      </c>
      <c r="C195" s="6" t="s">
        <v>236</v>
      </c>
      <c r="E195" s="6">
        <v>7</v>
      </c>
      <c r="F195" s="6" t="s">
        <v>222</v>
      </c>
      <c r="G195" s="6" t="s">
        <v>222</v>
      </c>
      <c r="H195" s="7">
        <v>-10</v>
      </c>
      <c r="I195" s="23">
        <v>1</v>
      </c>
      <c r="J195" s="8" t="s">
        <v>211</v>
      </c>
      <c r="K195" s="8">
        <v>4</v>
      </c>
      <c r="M195" s="10">
        <v>1988</v>
      </c>
      <c r="N195" s="10">
        <f>A195</f>
        <v>1</v>
      </c>
      <c r="O195" s="24">
        <f>E195</f>
        <v>7</v>
      </c>
      <c r="P195" s="24"/>
      <c r="Q195" t="s">
        <v>406</v>
      </c>
    </row>
    <row r="196" spans="1:17" x14ac:dyDescent="0.2">
      <c r="A196">
        <v>1</v>
      </c>
      <c r="B196" t="s">
        <v>177</v>
      </c>
      <c r="C196" s="6" t="s">
        <v>236</v>
      </c>
      <c r="E196" s="6">
        <v>7</v>
      </c>
      <c r="F196" s="6" t="s">
        <v>222</v>
      </c>
      <c r="G196" s="6" t="s">
        <v>222</v>
      </c>
      <c r="H196" s="7">
        <v>-10</v>
      </c>
      <c r="I196" s="23">
        <v>1</v>
      </c>
      <c r="J196" s="8" t="s">
        <v>211</v>
      </c>
      <c r="K196" s="8">
        <v>4</v>
      </c>
      <c r="M196" s="10">
        <v>1988</v>
      </c>
      <c r="N196" s="10">
        <f>A196</f>
        <v>1</v>
      </c>
      <c r="O196" s="24">
        <f>E196</f>
        <v>7</v>
      </c>
      <c r="P196" s="24"/>
      <c r="Q196" t="s">
        <v>405</v>
      </c>
    </row>
    <row r="197" spans="1:17" x14ac:dyDescent="0.2">
      <c r="A197">
        <v>3</v>
      </c>
      <c r="B197" t="s">
        <v>105</v>
      </c>
      <c r="C197" s="6" t="s">
        <v>236</v>
      </c>
      <c r="E197" s="6">
        <v>7</v>
      </c>
      <c r="F197" s="6" t="s">
        <v>222</v>
      </c>
      <c r="G197" s="6" t="s">
        <v>269</v>
      </c>
      <c r="H197" s="7">
        <v>-10</v>
      </c>
      <c r="I197" s="23">
        <v>1</v>
      </c>
      <c r="J197" s="8" t="s">
        <v>211</v>
      </c>
      <c r="K197" s="8">
        <v>4</v>
      </c>
      <c r="M197" s="10">
        <v>1988</v>
      </c>
      <c r="N197" s="10">
        <f>A197</f>
        <v>3</v>
      </c>
      <c r="O197" s="24">
        <f>E197</f>
        <v>7</v>
      </c>
      <c r="P197" s="24"/>
      <c r="Q197" t="s">
        <v>404</v>
      </c>
    </row>
    <row r="198" spans="1:17" x14ac:dyDescent="0.2">
      <c r="A198">
        <v>38</v>
      </c>
      <c r="B198" t="s">
        <v>25</v>
      </c>
      <c r="C198" s="6" t="s">
        <v>236</v>
      </c>
      <c r="E198" s="6">
        <v>7</v>
      </c>
      <c r="F198" s="6" t="s">
        <v>550</v>
      </c>
      <c r="G198" s="6" t="s">
        <v>328</v>
      </c>
      <c r="H198" s="7">
        <v>-10</v>
      </c>
      <c r="I198" s="23">
        <v>1</v>
      </c>
      <c r="J198" s="8" t="s">
        <v>211</v>
      </c>
      <c r="K198" s="8">
        <v>4</v>
      </c>
      <c r="L198" s="9" t="s">
        <v>207</v>
      </c>
      <c r="M198" s="10">
        <v>1984</v>
      </c>
      <c r="N198" s="10">
        <f>A198</f>
        <v>38</v>
      </c>
      <c r="O198" s="24">
        <f>E198</f>
        <v>7</v>
      </c>
      <c r="P198" s="24"/>
      <c r="Q198" t="s">
        <v>454</v>
      </c>
    </row>
    <row r="199" spans="1:17" x14ac:dyDescent="0.2">
      <c r="A199">
        <v>1</v>
      </c>
      <c r="B199" t="s">
        <v>151</v>
      </c>
      <c r="C199" s="6" t="s">
        <v>236</v>
      </c>
      <c r="D199" s="6" t="s">
        <v>327</v>
      </c>
      <c r="E199" s="6">
        <v>7</v>
      </c>
      <c r="F199" s="6" t="s">
        <v>550</v>
      </c>
      <c r="G199" s="6" t="s">
        <v>234</v>
      </c>
      <c r="H199" s="7">
        <v>-10</v>
      </c>
      <c r="I199" s="23">
        <v>1</v>
      </c>
      <c r="J199" s="8" t="s">
        <v>211</v>
      </c>
      <c r="K199" s="8">
        <v>4</v>
      </c>
      <c r="L199" s="9" t="s">
        <v>228</v>
      </c>
      <c r="M199" s="10">
        <v>1993</v>
      </c>
      <c r="N199" s="10">
        <f>A199</f>
        <v>1</v>
      </c>
      <c r="O199" s="24">
        <f>E199</f>
        <v>7</v>
      </c>
      <c r="P199" s="24"/>
    </row>
    <row r="200" spans="1:17" x14ac:dyDescent="0.2">
      <c r="A200">
        <v>137</v>
      </c>
      <c r="B200" t="s">
        <v>11</v>
      </c>
      <c r="C200" s="6" t="s">
        <v>233</v>
      </c>
      <c r="E200" s="6">
        <v>7</v>
      </c>
      <c r="F200" s="6" t="s">
        <v>544</v>
      </c>
      <c r="G200" s="6" t="s">
        <v>337</v>
      </c>
      <c r="H200" s="7">
        <v>39</v>
      </c>
      <c r="I200" s="23">
        <v>1</v>
      </c>
      <c r="J200" s="8" t="s">
        <v>211</v>
      </c>
      <c r="K200" s="8">
        <v>1</v>
      </c>
      <c r="L200" s="9" t="s">
        <v>235</v>
      </c>
      <c r="M200" s="10">
        <v>1996</v>
      </c>
      <c r="N200" s="10">
        <f>A200</f>
        <v>137</v>
      </c>
      <c r="O200" s="24">
        <f>E200</f>
        <v>7</v>
      </c>
      <c r="P200" s="24"/>
      <c r="Q200" t="s">
        <v>578</v>
      </c>
    </row>
    <row r="201" spans="1:17" x14ac:dyDescent="0.2">
      <c r="A201">
        <v>4</v>
      </c>
      <c r="B201" t="s">
        <v>103</v>
      </c>
      <c r="C201" s="6" t="s">
        <v>233</v>
      </c>
      <c r="E201" s="6">
        <v>7</v>
      </c>
      <c r="F201" s="6" t="s">
        <v>544</v>
      </c>
      <c r="G201" s="6" t="s">
        <v>330</v>
      </c>
      <c r="H201" s="7">
        <v>56</v>
      </c>
      <c r="I201" s="23">
        <v>1</v>
      </c>
      <c r="J201" s="8" t="s">
        <v>211</v>
      </c>
      <c r="K201" s="8">
        <v>3</v>
      </c>
      <c r="L201" s="9" t="s">
        <v>212</v>
      </c>
      <c r="M201" s="10">
        <v>1980</v>
      </c>
      <c r="N201" s="10">
        <f>A201</f>
        <v>4</v>
      </c>
      <c r="O201" s="24">
        <f>E201</f>
        <v>7</v>
      </c>
      <c r="P201" s="24"/>
      <c r="Q201" t="s">
        <v>499</v>
      </c>
    </row>
  </sheetData>
  <sortState ref="A2:Q201">
    <sortCondition ref="E2:E201"/>
  </sortState>
  <hyperlinks>
    <hyperlink ref="Q110" r:id="rId1"/>
    <hyperlink ref="Q145" r:id="rId2"/>
  </hyperlink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T8"/>
  <sheetViews>
    <sheetView workbookViewId="0">
      <selection activeCell="A9" sqref="A9"/>
    </sheetView>
  </sheetViews>
  <sheetFormatPr baseColWidth="10" defaultRowHeight="16" x14ac:dyDescent="0.2"/>
  <sheetData>
    <row r="1" spans="1:202" x14ac:dyDescent="0.2">
      <c r="A1" t="s">
        <v>203</v>
      </c>
      <c r="B1">
        <v>72</v>
      </c>
      <c r="C1">
        <v>55</v>
      </c>
      <c r="D1">
        <v>2</v>
      </c>
      <c r="E1">
        <v>-10</v>
      </c>
      <c r="F1">
        <v>1</v>
      </c>
      <c r="G1">
        <v>58</v>
      </c>
      <c r="H1">
        <v>84</v>
      </c>
      <c r="I1">
        <v>31</v>
      </c>
      <c r="J1">
        <v>31</v>
      </c>
      <c r="K1">
        <v>31</v>
      </c>
      <c r="L1">
        <v>31</v>
      </c>
      <c r="M1">
        <v>31</v>
      </c>
      <c r="N1">
        <v>40</v>
      </c>
      <c r="O1">
        <v>35</v>
      </c>
      <c r="P1">
        <v>-10</v>
      </c>
      <c r="Q1">
        <v>0</v>
      </c>
      <c r="R1">
        <v>1</v>
      </c>
      <c r="S1">
        <v>-10</v>
      </c>
      <c r="T1">
        <v>-10</v>
      </c>
      <c r="U1">
        <v>-10</v>
      </c>
      <c r="V1">
        <v>-10</v>
      </c>
      <c r="W1">
        <v>69</v>
      </c>
      <c r="X1">
        <v>22</v>
      </c>
      <c r="Y1">
        <v>1</v>
      </c>
      <c r="Z1">
        <v>-10</v>
      </c>
      <c r="AA1">
        <v>52</v>
      </c>
      <c r="AB1">
        <v>15</v>
      </c>
      <c r="AC1">
        <v>31</v>
      </c>
      <c r="AD1">
        <v>40</v>
      </c>
      <c r="AE1">
        <v>82</v>
      </c>
      <c r="AF1">
        <v>64</v>
      </c>
      <c r="AG1">
        <v>15</v>
      </c>
      <c r="AH1">
        <v>64</v>
      </c>
      <c r="AI1">
        <v>49</v>
      </c>
      <c r="AJ1">
        <v>73</v>
      </c>
      <c r="AK1">
        <v>74</v>
      </c>
      <c r="AL1">
        <v>0</v>
      </c>
      <c r="AM1">
        <v>62</v>
      </c>
      <c r="AN1">
        <v>65</v>
      </c>
      <c r="AO1">
        <v>56</v>
      </c>
      <c r="AP1">
        <v>26</v>
      </c>
      <c r="AQ1">
        <v>61</v>
      </c>
      <c r="AR1">
        <v>-10</v>
      </c>
      <c r="AS1">
        <v>-10</v>
      </c>
      <c r="AT1">
        <v>-10</v>
      </c>
      <c r="AU1">
        <v>3</v>
      </c>
      <c r="AV1">
        <v>17</v>
      </c>
      <c r="AW1">
        <v>78</v>
      </c>
      <c r="AX1">
        <v>53</v>
      </c>
      <c r="AY1">
        <v>53</v>
      </c>
      <c r="AZ1">
        <v>31</v>
      </c>
      <c r="BA1">
        <v>26</v>
      </c>
      <c r="BB1">
        <v>26</v>
      </c>
      <c r="BC1">
        <v>85</v>
      </c>
      <c r="BD1">
        <v>58</v>
      </c>
      <c r="BE1">
        <v>58</v>
      </c>
      <c r="BF1">
        <v>54</v>
      </c>
      <c r="BG1">
        <v>-10</v>
      </c>
      <c r="BH1">
        <v>43</v>
      </c>
      <c r="BI1">
        <v>55</v>
      </c>
      <c r="BJ1">
        <v>54</v>
      </c>
      <c r="BK1">
        <v>-10</v>
      </c>
      <c r="BL1">
        <v>22</v>
      </c>
      <c r="BM1">
        <v>36</v>
      </c>
      <c r="BN1">
        <v>77</v>
      </c>
      <c r="BO1">
        <v>58</v>
      </c>
      <c r="BP1">
        <v>78</v>
      </c>
      <c r="BQ1">
        <v>-10</v>
      </c>
      <c r="BR1">
        <v>25</v>
      </c>
      <c r="BS1">
        <v>-10</v>
      </c>
      <c r="BT1">
        <v>63</v>
      </c>
      <c r="BU1">
        <v>-10</v>
      </c>
      <c r="BV1">
        <v>4</v>
      </c>
      <c r="BW1">
        <v>2</v>
      </c>
      <c r="BX1">
        <v>68</v>
      </c>
      <c r="BY1">
        <v>59</v>
      </c>
      <c r="BZ1">
        <v>14</v>
      </c>
      <c r="CA1">
        <v>6</v>
      </c>
      <c r="CB1">
        <v>2</v>
      </c>
      <c r="CC1">
        <v>61</v>
      </c>
      <c r="CD1">
        <v>50</v>
      </c>
      <c r="CE1">
        <v>44</v>
      </c>
      <c r="CF1">
        <v>11</v>
      </c>
      <c r="CG1">
        <v>1</v>
      </c>
      <c r="CH1">
        <v>4</v>
      </c>
      <c r="CI1">
        <v>53</v>
      </c>
      <c r="CJ1">
        <v>2</v>
      </c>
      <c r="CK1">
        <v>1</v>
      </c>
      <c r="CL1">
        <v>-10</v>
      </c>
      <c r="CM1">
        <v>-10</v>
      </c>
      <c r="CN1">
        <v>78</v>
      </c>
      <c r="CO1">
        <v>-10</v>
      </c>
      <c r="CP1">
        <v>44</v>
      </c>
      <c r="CQ1">
        <v>69</v>
      </c>
      <c r="CR1">
        <v>63</v>
      </c>
      <c r="CS1">
        <v>51</v>
      </c>
      <c r="CT1">
        <v>47</v>
      </c>
      <c r="CU1">
        <v>54</v>
      </c>
      <c r="CV1">
        <v>74</v>
      </c>
      <c r="CW1">
        <v>74</v>
      </c>
      <c r="CX1">
        <v>65</v>
      </c>
      <c r="CY1">
        <v>7</v>
      </c>
      <c r="CZ1">
        <v>7</v>
      </c>
      <c r="DA1">
        <v>3</v>
      </c>
      <c r="DB1">
        <v>-10</v>
      </c>
      <c r="DC1">
        <v>16</v>
      </c>
      <c r="DD1">
        <v>33</v>
      </c>
      <c r="DE1">
        <v>4</v>
      </c>
      <c r="DF1">
        <v>4</v>
      </c>
      <c r="DG1">
        <v>11</v>
      </c>
      <c r="DH1">
        <v>-10</v>
      </c>
      <c r="DI1">
        <v>53</v>
      </c>
      <c r="DJ1">
        <v>24</v>
      </c>
      <c r="DK1">
        <v>-10</v>
      </c>
      <c r="DL1">
        <v>35</v>
      </c>
      <c r="DM1">
        <v>62</v>
      </c>
      <c r="DN1">
        <v>59</v>
      </c>
      <c r="DO1">
        <v>59</v>
      </c>
      <c r="DP1">
        <v>53</v>
      </c>
      <c r="DQ1">
        <v>65</v>
      </c>
      <c r="DR1">
        <v>55</v>
      </c>
      <c r="DS1">
        <v>3</v>
      </c>
      <c r="DT1">
        <v>42</v>
      </c>
      <c r="DU1">
        <v>11</v>
      </c>
      <c r="DV1">
        <v>7</v>
      </c>
      <c r="DW1">
        <v>38</v>
      </c>
      <c r="DX1">
        <v>38</v>
      </c>
      <c r="DY1">
        <v>63</v>
      </c>
      <c r="DZ1">
        <v>36</v>
      </c>
      <c r="EA1">
        <v>61</v>
      </c>
      <c r="EB1">
        <v>61</v>
      </c>
      <c r="EC1">
        <v>19</v>
      </c>
      <c r="ED1">
        <v>19</v>
      </c>
      <c r="EE1">
        <v>14</v>
      </c>
      <c r="EF1">
        <v>1</v>
      </c>
      <c r="EG1">
        <v>-10</v>
      </c>
      <c r="EH1">
        <v>37</v>
      </c>
      <c r="EI1">
        <v>54</v>
      </c>
      <c r="EJ1">
        <v>53</v>
      </c>
      <c r="EK1">
        <v>8</v>
      </c>
      <c r="EL1">
        <v>3</v>
      </c>
      <c r="EM1">
        <v>-10</v>
      </c>
      <c r="EN1">
        <v>32</v>
      </c>
      <c r="EO1">
        <v>0</v>
      </c>
      <c r="EP1">
        <v>65</v>
      </c>
      <c r="EQ1">
        <v>62</v>
      </c>
      <c r="ER1">
        <v>58</v>
      </c>
      <c r="ES1">
        <v>55</v>
      </c>
      <c r="ET1">
        <v>52</v>
      </c>
      <c r="EU1">
        <v>47</v>
      </c>
      <c r="EV1">
        <v>1</v>
      </c>
      <c r="EW1">
        <v>49</v>
      </c>
      <c r="EX1">
        <v>49</v>
      </c>
      <c r="EY1">
        <v>-10</v>
      </c>
      <c r="EZ1">
        <v>-10</v>
      </c>
      <c r="FA1">
        <v>-10</v>
      </c>
      <c r="FB1">
        <v>-10</v>
      </c>
      <c r="FC1">
        <v>49</v>
      </c>
      <c r="FD1">
        <v>82</v>
      </c>
      <c r="FE1">
        <v>81</v>
      </c>
      <c r="FF1">
        <v>58</v>
      </c>
      <c r="FG1">
        <v>58</v>
      </c>
      <c r="FH1">
        <v>51</v>
      </c>
      <c r="FI1">
        <v>44</v>
      </c>
      <c r="FJ1">
        <v>72</v>
      </c>
      <c r="FK1">
        <v>70</v>
      </c>
      <c r="FL1">
        <v>70</v>
      </c>
      <c r="FM1">
        <v>70</v>
      </c>
      <c r="FN1">
        <v>51</v>
      </c>
      <c r="FO1">
        <v>50</v>
      </c>
      <c r="FP1">
        <v>78</v>
      </c>
      <c r="FQ1">
        <v>58</v>
      </c>
      <c r="FR1">
        <v>72</v>
      </c>
      <c r="FS1">
        <v>67</v>
      </c>
      <c r="FT1">
        <v>56</v>
      </c>
      <c r="FU1">
        <v>34</v>
      </c>
      <c r="FV1">
        <v>-10</v>
      </c>
      <c r="FW1">
        <v>-10</v>
      </c>
      <c r="FX1">
        <v>-10</v>
      </c>
      <c r="FY1">
        <v>-10</v>
      </c>
      <c r="FZ1">
        <v>-10</v>
      </c>
      <c r="GA1">
        <v>-10</v>
      </c>
      <c r="GB1">
        <v>84</v>
      </c>
      <c r="GC1">
        <v>59</v>
      </c>
      <c r="GD1">
        <v>41</v>
      </c>
      <c r="GE1">
        <v>35</v>
      </c>
      <c r="GF1">
        <v>-10</v>
      </c>
      <c r="GG1">
        <v>-10</v>
      </c>
      <c r="GH1">
        <v>83</v>
      </c>
      <c r="GI1">
        <v>66</v>
      </c>
      <c r="GJ1">
        <v>64</v>
      </c>
      <c r="GK1">
        <v>64</v>
      </c>
      <c r="GL1">
        <v>12</v>
      </c>
      <c r="GM1">
        <v>-10</v>
      </c>
      <c r="GN1">
        <v>-10</v>
      </c>
      <c r="GO1">
        <v>-10</v>
      </c>
      <c r="GP1">
        <v>-10</v>
      </c>
      <c r="GQ1">
        <v>-10</v>
      </c>
      <c r="GR1">
        <v>39</v>
      </c>
      <c r="GS1">
        <v>56</v>
      </c>
      <c r="GT1">
        <v>49</v>
      </c>
    </row>
    <row r="2" spans="1:202" x14ac:dyDescent="0.2">
      <c r="A2" t="s">
        <v>481</v>
      </c>
      <c r="B2">
        <v>2</v>
      </c>
      <c r="C2">
        <v>1</v>
      </c>
      <c r="D2">
        <v>2</v>
      </c>
      <c r="E2">
        <v>3</v>
      </c>
      <c r="F2">
        <v>1</v>
      </c>
      <c r="G2">
        <v>1</v>
      </c>
      <c r="H2">
        <v>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2</v>
      </c>
      <c r="P2">
        <v>3</v>
      </c>
      <c r="Q2">
        <v>3</v>
      </c>
      <c r="R2">
        <v>1</v>
      </c>
      <c r="S2">
        <v>3</v>
      </c>
      <c r="T2">
        <v>3</v>
      </c>
      <c r="U2">
        <v>3</v>
      </c>
      <c r="V2">
        <v>2</v>
      </c>
      <c r="W2">
        <v>2</v>
      </c>
      <c r="X2">
        <v>2</v>
      </c>
      <c r="Y2">
        <v>2</v>
      </c>
      <c r="Z2">
        <v>3</v>
      </c>
      <c r="AA2">
        <v>2</v>
      </c>
      <c r="AB2">
        <v>2</v>
      </c>
      <c r="AC2">
        <v>1</v>
      </c>
      <c r="AD2">
        <v>1</v>
      </c>
      <c r="AE2">
        <v>2</v>
      </c>
      <c r="AF2">
        <v>2</v>
      </c>
      <c r="AG2">
        <v>1</v>
      </c>
      <c r="AH2">
        <v>2</v>
      </c>
      <c r="AI2">
        <v>1</v>
      </c>
      <c r="AJ2">
        <v>1</v>
      </c>
      <c r="AK2">
        <v>2</v>
      </c>
      <c r="AL2">
        <v>1</v>
      </c>
      <c r="AM2">
        <v>1</v>
      </c>
      <c r="AN2">
        <v>2</v>
      </c>
      <c r="AO2">
        <v>2</v>
      </c>
      <c r="AP2">
        <v>2</v>
      </c>
      <c r="AQ2">
        <v>1</v>
      </c>
      <c r="AR2">
        <v>3</v>
      </c>
      <c r="AS2">
        <v>2</v>
      </c>
      <c r="AT2">
        <v>3</v>
      </c>
      <c r="AU2">
        <v>1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1</v>
      </c>
      <c r="BD2">
        <v>1</v>
      </c>
      <c r="BE2">
        <v>1</v>
      </c>
      <c r="BF2">
        <v>1</v>
      </c>
      <c r="BG2">
        <v>3</v>
      </c>
      <c r="BH2">
        <v>2</v>
      </c>
      <c r="BI2">
        <v>2</v>
      </c>
      <c r="BJ2">
        <v>1</v>
      </c>
      <c r="BK2">
        <v>3</v>
      </c>
      <c r="BL2">
        <v>2</v>
      </c>
      <c r="BM2">
        <v>2</v>
      </c>
      <c r="BN2">
        <v>1</v>
      </c>
      <c r="BO2">
        <v>2</v>
      </c>
      <c r="BP2">
        <v>1</v>
      </c>
      <c r="BQ2">
        <v>1</v>
      </c>
      <c r="BR2">
        <v>2</v>
      </c>
      <c r="BS2">
        <v>3</v>
      </c>
      <c r="BT2">
        <v>2</v>
      </c>
      <c r="BU2">
        <v>2</v>
      </c>
      <c r="BV2">
        <v>1</v>
      </c>
      <c r="BW2">
        <v>2</v>
      </c>
      <c r="BX2">
        <v>1</v>
      </c>
      <c r="BY2">
        <v>1</v>
      </c>
      <c r="BZ2">
        <v>1</v>
      </c>
      <c r="CA2">
        <v>1</v>
      </c>
      <c r="CB2">
        <v>1</v>
      </c>
      <c r="CC2">
        <v>2</v>
      </c>
      <c r="CD2">
        <v>2</v>
      </c>
      <c r="CE2">
        <v>2</v>
      </c>
      <c r="CF2">
        <v>2</v>
      </c>
      <c r="CG2">
        <v>2</v>
      </c>
      <c r="CH2">
        <v>1</v>
      </c>
      <c r="CI2">
        <v>2</v>
      </c>
      <c r="CJ2">
        <v>2</v>
      </c>
      <c r="CK2">
        <v>2</v>
      </c>
      <c r="CL2">
        <v>3</v>
      </c>
      <c r="CM2">
        <v>3</v>
      </c>
      <c r="CN2">
        <v>3</v>
      </c>
      <c r="CO2">
        <v>3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CY2">
        <v>2</v>
      </c>
      <c r="CZ2">
        <v>2</v>
      </c>
      <c r="DA2">
        <v>2</v>
      </c>
      <c r="DB2">
        <v>2</v>
      </c>
      <c r="DC2">
        <v>2</v>
      </c>
      <c r="DD2">
        <v>1</v>
      </c>
      <c r="DE2">
        <v>1</v>
      </c>
      <c r="DF2">
        <v>1</v>
      </c>
      <c r="DG2">
        <v>2</v>
      </c>
      <c r="DH2">
        <v>3</v>
      </c>
      <c r="DI2">
        <v>2</v>
      </c>
      <c r="DJ2">
        <v>2</v>
      </c>
      <c r="DK2">
        <v>3</v>
      </c>
      <c r="DL2">
        <v>2</v>
      </c>
      <c r="DM2">
        <v>1</v>
      </c>
      <c r="DN2">
        <v>2</v>
      </c>
      <c r="DO2">
        <v>2</v>
      </c>
      <c r="DP2">
        <v>1</v>
      </c>
      <c r="DQ2">
        <v>2</v>
      </c>
      <c r="DR2">
        <v>2</v>
      </c>
      <c r="DS2">
        <v>2</v>
      </c>
      <c r="DT2">
        <v>2</v>
      </c>
      <c r="DU2">
        <v>2</v>
      </c>
      <c r="DV2">
        <v>2</v>
      </c>
      <c r="DW2">
        <v>2</v>
      </c>
      <c r="DX2">
        <v>2</v>
      </c>
      <c r="DY2">
        <v>1</v>
      </c>
      <c r="DZ2">
        <v>1</v>
      </c>
      <c r="EA2">
        <v>2</v>
      </c>
      <c r="EB2">
        <v>2</v>
      </c>
      <c r="EC2">
        <v>2</v>
      </c>
      <c r="ED2">
        <v>2</v>
      </c>
      <c r="EE2">
        <v>2</v>
      </c>
      <c r="EF2">
        <v>2</v>
      </c>
      <c r="EG2">
        <v>2</v>
      </c>
      <c r="EH2">
        <v>2</v>
      </c>
      <c r="EI2">
        <v>2</v>
      </c>
      <c r="EJ2">
        <v>2</v>
      </c>
      <c r="EK2">
        <v>2</v>
      </c>
      <c r="EL2">
        <v>1</v>
      </c>
      <c r="EM2">
        <v>1</v>
      </c>
      <c r="EN2">
        <v>1</v>
      </c>
      <c r="EO2">
        <v>1</v>
      </c>
      <c r="EP2">
        <v>2</v>
      </c>
      <c r="EQ2">
        <v>2</v>
      </c>
      <c r="ER2">
        <v>2</v>
      </c>
      <c r="ES2">
        <v>2</v>
      </c>
      <c r="ET2">
        <v>2</v>
      </c>
      <c r="EU2">
        <v>2</v>
      </c>
      <c r="EV2">
        <v>2</v>
      </c>
      <c r="EW2">
        <v>2</v>
      </c>
      <c r="EX2">
        <v>2</v>
      </c>
      <c r="EY2">
        <v>2</v>
      </c>
      <c r="EZ2">
        <v>3</v>
      </c>
      <c r="FA2">
        <v>3</v>
      </c>
      <c r="FB2">
        <v>3</v>
      </c>
      <c r="FC2">
        <v>2</v>
      </c>
      <c r="FD2">
        <v>1</v>
      </c>
      <c r="FE2">
        <v>1</v>
      </c>
      <c r="FF2">
        <v>1</v>
      </c>
      <c r="FG2">
        <v>1</v>
      </c>
      <c r="FH2">
        <v>1</v>
      </c>
      <c r="FI2">
        <v>1</v>
      </c>
      <c r="FJ2">
        <v>2</v>
      </c>
      <c r="FK2">
        <v>2</v>
      </c>
      <c r="FL2">
        <v>2</v>
      </c>
      <c r="FM2">
        <v>2</v>
      </c>
      <c r="FN2">
        <v>2</v>
      </c>
      <c r="FO2">
        <v>2</v>
      </c>
      <c r="FP2">
        <v>1</v>
      </c>
      <c r="FQ2">
        <v>1</v>
      </c>
      <c r="FR2">
        <v>2</v>
      </c>
      <c r="FS2">
        <v>2</v>
      </c>
      <c r="FT2">
        <v>2</v>
      </c>
      <c r="FU2">
        <v>2</v>
      </c>
      <c r="FV2">
        <v>2</v>
      </c>
      <c r="FW2">
        <v>2</v>
      </c>
      <c r="FX2">
        <v>2</v>
      </c>
      <c r="FY2">
        <v>2</v>
      </c>
      <c r="FZ2">
        <v>2</v>
      </c>
      <c r="GA2">
        <v>3</v>
      </c>
      <c r="GB2">
        <v>2</v>
      </c>
      <c r="GC2">
        <v>2</v>
      </c>
      <c r="GD2">
        <v>2</v>
      </c>
      <c r="GE2">
        <v>2</v>
      </c>
      <c r="GF2">
        <v>2</v>
      </c>
      <c r="GG2">
        <v>3</v>
      </c>
      <c r="GH2">
        <v>2</v>
      </c>
      <c r="GI2">
        <v>2</v>
      </c>
      <c r="GJ2">
        <v>1</v>
      </c>
      <c r="GK2">
        <v>1</v>
      </c>
      <c r="GL2">
        <v>1</v>
      </c>
      <c r="GM2">
        <v>1</v>
      </c>
      <c r="GN2">
        <v>1</v>
      </c>
      <c r="GO2">
        <v>1</v>
      </c>
      <c r="GP2">
        <v>1</v>
      </c>
      <c r="GQ2">
        <v>1</v>
      </c>
      <c r="GR2">
        <v>1</v>
      </c>
      <c r="GS2">
        <v>1</v>
      </c>
      <c r="GT2">
        <v>2</v>
      </c>
    </row>
    <row r="3" spans="1:202" x14ac:dyDescent="0.2">
      <c r="A3" t="s">
        <v>204</v>
      </c>
      <c r="B3" t="s">
        <v>214</v>
      </c>
      <c r="C3" t="s">
        <v>211</v>
      </c>
      <c r="D3" t="s">
        <v>214</v>
      </c>
      <c r="E3" t="s">
        <v>228</v>
      </c>
      <c r="F3" t="s">
        <v>211</v>
      </c>
      <c r="G3" t="s">
        <v>211</v>
      </c>
      <c r="H3" t="s">
        <v>214</v>
      </c>
      <c r="I3" t="s">
        <v>211</v>
      </c>
      <c r="J3" t="s">
        <v>211</v>
      </c>
      <c r="K3" t="s">
        <v>211</v>
      </c>
      <c r="L3" t="s">
        <v>211</v>
      </c>
      <c r="M3" t="s">
        <v>211</v>
      </c>
      <c r="N3" t="s">
        <v>211</v>
      </c>
      <c r="O3" t="s">
        <v>214</v>
      </c>
      <c r="P3" t="s">
        <v>228</v>
      </c>
      <c r="R3" t="s">
        <v>211</v>
      </c>
      <c r="S3" t="s">
        <v>207</v>
      </c>
      <c r="T3" t="s">
        <v>207</v>
      </c>
      <c r="U3" t="s">
        <v>228</v>
      </c>
      <c r="V3" t="s">
        <v>214</v>
      </c>
      <c r="W3" t="s">
        <v>214</v>
      </c>
      <c r="X3" t="s">
        <v>214</v>
      </c>
      <c r="Y3" t="s">
        <v>214</v>
      </c>
      <c r="Z3" t="s">
        <v>228</v>
      </c>
      <c r="AA3" t="s">
        <v>214</v>
      </c>
      <c r="AB3" t="s">
        <v>214</v>
      </c>
      <c r="AC3" t="s">
        <v>211</v>
      </c>
      <c r="AD3" t="s">
        <v>211</v>
      </c>
      <c r="AE3" t="s">
        <v>214</v>
      </c>
      <c r="AF3" t="s">
        <v>214</v>
      </c>
      <c r="AG3" t="s">
        <v>211</v>
      </c>
      <c r="AH3" t="s">
        <v>214</v>
      </c>
      <c r="AI3" t="s">
        <v>211</v>
      </c>
      <c r="AJ3" t="s">
        <v>211</v>
      </c>
      <c r="AK3" t="s">
        <v>214</v>
      </c>
      <c r="AL3" t="s">
        <v>211</v>
      </c>
      <c r="AM3" t="s">
        <v>211</v>
      </c>
      <c r="AN3" t="s">
        <v>214</v>
      </c>
      <c r="AO3" t="s">
        <v>214</v>
      </c>
      <c r="AP3" t="s">
        <v>214</v>
      </c>
      <c r="AQ3" t="s">
        <v>211</v>
      </c>
      <c r="AR3" t="s">
        <v>228</v>
      </c>
      <c r="AS3" t="s">
        <v>214</v>
      </c>
      <c r="AT3" t="s">
        <v>228</v>
      </c>
      <c r="AU3" t="s">
        <v>211</v>
      </c>
      <c r="AV3" t="s">
        <v>214</v>
      </c>
      <c r="AW3" t="s">
        <v>214</v>
      </c>
      <c r="AX3" t="s">
        <v>214</v>
      </c>
      <c r="AY3" t="s">
        <v>214</v>
      </c>
      <c r="AZ3" t="s">
        <v>214</v>
      </c>
      <c r="BA3" t="s">
        <v>214</v>
      </c>
      <c r="BB3" t="s">
        <v>214</v>
      </c>
      <c r="BC3" t="s">
        <v>211</v>
      </c>
      <c r="BD3" t="s">
        <v>211</v>
      </c>
      <c r="BE3" t="s">
        <v>211</v>
      </c>
      <c r="BF3" t="s">
        <v>211</v>
      </c>
      <c r="BH3" t="s">
        <v>214</v>
      </c>
      <c r="BI3" t="s">
        <v>214</v>
      </c>
      <c r="BJ3" t="s">
        <v>211</v>
      </c>
      <c r="BK3" t="s">
        <v>228</v>
      </c>
      <c r="BL3" t="s">
        <v>214</v>
      </c>
      <c r="BM3" t="s">
        <v>214</v>
      </c>
      <c r="BN3" t="s">
        <v>211</v>
      </c>
      <c r="BO3" t="s">
        <v>214</v>
      </c>
      <c r="BP3" t="s">
        <v>211</v>
      </c>
      <c r="BQ3" t="s">
        <v>211</v>
      </c>
      <c r="BR3" t="s">
        <v>214</v>
      </c>
      <c r="BT3" t="s">
        <v>214</v>
      </c>
      <c r="BU3" t="s">
        <v>214</v>
      </c>
      <c r="BV3" t="s">
        <v>211</v>
      </c>
      <c r="BW3" t="s">
        <v>214</v>
      </c>
      <c r="BX3" t="s">
        <v>211</v>
      </c>
      <c r="BY3" t="s">
        <v>211</v>
      </c>
      <c r="BZ3" t="s">
        <v>211</v>
      </c>
      <c r="CA3" t="s">
        <v>211</v>
      </c>
      <c r="CB3" t="s">
        <v>211</v>
      </c>
      <c r="CC3" t="s">
        <v>214</v>
      </c>
      <c r="CD3" t="s">
        <v>214</v>
      </c>
      <c r="CE3" t="s">
        <v>214</v>
      </c>
      <c r="CF3" t="s">
        <v>214</v>
      </c>
      <c r="CG3" t="s">
        <v>214</v>
      </c>
      <c r="CH3" t="s">
        <v>211</v>
      </c>
      <c r="CI3" t="s">
        <v>214</v>
      </c>
      <c r="CJ3" t="s">
        <v>214</v>
      </c>
      <c r="CK3" t="s">
        <v>214</v>
      </c>
      <c r="CL3" t="s">
        <v>228</v>
      </c>
      <c r="CN3" t="s">
        <v>228</v>
      </c>
      <c r="CP3" t="s">
        <v>211</v>
      </c>
      <c r="CQ3" t="s">
        <v>211</v>
      </c>
      <c r="CR3" t="s">
        <v>211</v>
      </c>
      <c r="CS3" t="s">
        <v>211</v>
      </c>
      <c r="CT3" t="s">
        <v>211</v>
      </c>
      <c r="CU3" t="s">
        <v>211</v>
      </c>
      <c r="CV3" t="s">
        <v>211</v>
      </c>
      <c r="CW3" t="s">
        <v>211</v>
      </c>
      <c r="CX3" t="s">
        <v>211</v>
      </c>
      <c r="CY3" t="s">
        <v>214</v>
      </c>
      <c r="CZ3" t="s">
        <v>214</v>
      </c>
      <c r="DA3" t="s">
        <v>214</v>
      </c>
      <c r="DB3" t="s">
        <v>214</v>
      </c>
      <c r="DC3" t="s">
        <v>214</v>
      </c>
      <c r="DD3" t="s">
        <v>211</v>
      </c>
      <c r="DE3" t="s">
        <v>211</v>
      </c>
      <c r="DF3" t="s">
        <v>211</v>
      </c>
      <c r="DG3" t="s">
        <v>214</v>
      </c>
      <c r="DH3" t="s">
        <v>228</v>
      </c>
      <c r="DI3" t="s">
        <v>214</v>
      </c>
      <c r="DJ3" t="s">
        <v>214</v>
      </c>
      <c r="DK3" t="s">
        <v>207</v>
      </c>
      <c r="DL3" t="s">
        <v>214</v>
      </c>
      <c r="DM3" t="s">
        <v>211</v>
      </c>
      <c r="DN3" t="s">
        <v>214</v>
      </c>
      <c r="DO3" t="s">
        <v>214</v>
      </c>
      <c r="DP3" t="s">
        <v>211</v>
      </c>
      <c r="DQ3" t="s">
        <v>214</v>
      </c>
      <c r="DR3" t="s">
        <v>214</v>
      </c>
      <c r="DS3" t="s">
        <v>214</v>
      </c>
      <c r="DT3" t="s">
        <v>214</v>
      </c>
      <c r="DU3" t="s">
        <v>214</v>
      </c>
      <c r="DV3" t="s">
        <v>214</v>
      </c>
      <c r="DW3" t="s">
        <v>214</v>
      </c>
      <c r="DX3" t="s">
        <v>214</v>
      </c>
      <c r="DY3" t="s">
        <v>211</v>
      </c>
      <c r="DZ3" t="s">
        <v>211</v>
      </c>
      <c r="EA3" t="s">
        <v>214</v>
      </c>
      <c r="EB3" t="s">
        <v>214</v>
      </c>
      <c r="EC3" t="s">
        <v>214</v>
      </c>
      <c r="ED3" t="s">
        <v>214</v>
      </c>
      <c r="EE3" t="s">
        <v>214</v>
      </c>
      <c r="EF3" t="s">
        <v>214</v>
      </c>
      <c r="EG3" t="s">
        <v>214</v>
      </c>
      <c r="EH3" t="s">
        <v>214</v>
      </c>
      <c r="EI3" t="s">
        <v>214</v>
      </c>
      <c r="EJ3" t="s">
        <v>214</v>
      </c>
      <c r="EK3" t="s">
        <v>214</v>
      </c>
      <c r="EL3" t="s">
        <v>211</v>
      </c>
      <c r="EM3" t="s">
        <v>211</v>
      </c>
      <c r="EN3" t="s">
        <v>211</v>
      </c>
      <c r="EO3" t="s">
        <v>211</v>
      </c>
      <c r="EP3" t="s">
        <v>214</v>
      </c>
      <c r="EQ3" t="s">
        <v>214</v>
      </c>
      <c r="ER3" t="s">
        <v>214</v>
      </c>
      <c r="ES3" t="s">
        <v>214</v>
      </c>
      <c r="ET3" t="s">
        <v>214</v>
      </c>
      <c r="EU3" t="s">
        <v>214</v>
      </c>
      <c r="EV3" t="s">
        <v>214</v>
      </c>
      <c r="EW3" t="s">
        <v>214</v>
      </c>
      <c r="EX3" t="s">
        <v>214</v>
      </c>
      <c r="EY3" t="s">
        <v>214</v>
      </c>
      <c r="EZ3" t="s">
        <v>228</v>
      </c>
      <c r="FA3" t="s">
        <v>228</v>
      </c>
      <c r="FB3" t="s">
        <v>207</v>
      </c>
      <c r="FC3" t="s">
        <v>214</v>
      </c>
      <c r="FD3" t="s">
        <v>211</v>
      </c>
      <c r="FE3" t="s">
        <v>211</v>
      </c>
      <c r="FF3" t="s">
        <v>211</v>
      </c>
      <c r="FG3" t="s">
        <v>211</v>
      </c>
      <c r="FH3" t="s">
        <v>211</v>
      </c>
      <c r="FI3" t="s">
        <v>211</v>
      </c>
      <c r="FJ3" t="s">
        <v>214</v>
      </c>
      <c r="FK3" t="s">
        <v>214</v>
      </c>
      <c r="FL3" t="s">
        <v>214</v>
      </c>
      <c r="FM3" t="s">
        <v>214</v>
      </c>
      <c r="FN3" t="s">
        <v>214</v>
      </c>
      <c r="FO3" t="s">
        <v>214</v>
      </c>
      <c r="FP3" t="s">
        <v>211</v>
      </c>
      <c r="FQ3" t="s">
        <v>211</v>
      </c>
      <c r="FR3" t="s">
        <v>214</v>
      </c>
      <c r="FS3" t="s">
        <v>214</v>
      </c>
      <c r="FT3" t="s">
        <v>214</v>
      </c>
      <c r="FU3" t="s">
        <v>214</v>
      </c>
      <c r="FV3" t="s">
        <v>214</v>
      </c>
      <c r="FW3" t="s">
        <v>214</v>
      </c>
      <c r="FX3" t="s">
        <v>214</v>
      </c>
      <c r="FY3" t="s">
        <v>214</v>
      </c>
      <c r="FZ3" t="s">
        <v>214</v>
      </c>
      <c r="GB3" t="s">
        <v>214</v>
      </c>
      <c r="GC3" t="s">
        <v>214</v>
      </c>
      <c r="GD3" t="s">
        <v>214</v>
      </c>
      <c r="GE3" t="s">
        <v>214</v>
      </c>
      <c r="GF3" t="s">
        <v>214</v>
      </c>
      <c r="GH3" t="s">
        <v>214</v>
      </c>
      <c r="GI3" t="s">
        <v>214</v>
      </c>
      <c r="GJ3" t="s">
        <v>211</v>
      </c>
      <c r="GK3" t="s">
        <v>211</v>
      </c>
      <c r="GL3" t="s">
        <v>211</v>
      </c>
      <c r="GM3" t="s">
        <v>211</v>
      </c>
      <c r="GN3" t="s">
        <v>211</v>
      </c>
      <c r="GO3" t="s">
        <v>211</v>
      </c>
      <c r="GP3" t="s">
        <v>211</v>
      </c>
      <c r="GQ3" t="s">
        <v>211</v>
      </c>
      <c r="GR3" t="s">
        <v>211</v>
      </c>
      <c r="GS3" t="s">
        <v>211</v>
      </c>
      <c r="GT3" t="s">
        <v>214</v>
      </c>
    </row>
    <row r="4" spans="1:202" x14ac:dyDescent="0.2">
      <c r="A4" t="s">
        <v>482</v>
      </c>
      <c r="B4">
        <v>3</v>
      </c>
      <c r="C4">
        <v>3</v>
      </c>
      <c r="D4">
        <v>4</v>
      </c>
      <c r="E4">
        <v>4</v>
      </c>
      <c r="F4">
        <v>1</v>
      </c>
      <c r="G4">
        <v>3</v>
      </c>
      <c r="H4">
        <v>4</v>
      </c>
      <c r="I4">
        <v>2</v>
      </c>
      <c r="J4">
        <v>2</v>
      </c>
      <c r="K4">
        <v>2</v>
      </c>
      <c r="L4">
        <v>2</v>
      </c>
      <c r="M4">
        <v>2</v>
      </c>
      <c r="N4">
        <v>3</v>
      </c>
      <c r="O4">
        <v>3</v>
      </c>
      <c r="P4">
        <v>3</v>
      </c>
      <c r="Q4">
        <v>4</v>
      </c>
      <c r="R4">
        <v>3</v>
      </c>
      <c r="S4">
        <v>4</v>
      </c>
      <c r="T4">
        <v>4</v>
      </c>
      <c r="U4">
        <v>4</v>
      </c>
      <c r="V4">
        <v>3</v>
      </c>
      <c r="W4">
        <v>3</v>
      </c>
      <c r="X4">
        <v>3</v>
      </c>
      <c r="Y4">
        <v>3</v>
      </c>
      <c r="Z4">
        <v>4</v>
      </c>
      <c r="AA4">
        <v>3</v>
      </c>
      <c r="AB4">
        <v>3</v>
      </c>
      <c r="AC4">
        <v>2</v>
      </c>
      <c r="AD4">
        <v>4</v>
      </c>
      <c r="AE4">
        <v>4</v>
      </c>
      <c r="AF4">
        <v>1</v>
      </c>
      <c r="AG4">
        <v>4</v>
      </c>
      <c r="AH4">
        <v>1</v>
      </c>
      <c r="AI4">
        <v>1</v>
      </c>
      <c r="AJ4">
        <v>3</v>
      </c>
      <c r="AK4">
        <v>3</v>
      </c>
      <c r="AL4">
        <v>4</v>
      </c>
      <c r="AM4">
        <v>3</v>
      </c>
      <c r="AN4">
        <v>3</v>
      </c>
      <c r="AO4">
        <v>3</v>
      </c>
      <c r="AP4">
        <v>3</v>
      </c>
      <c r="AQ4">
        <v>4</v>
      </c>
      <c r="AR4">
        <v>4</v>
      </c>
      <c r="AS4">
        <v>4</v>
      </c>
      <c r="AT4">
        <v>4</v>
      </c>
      <c r="AU4">
        <v>3</v>
      </c>
      <c r="AV4">
        <v>3</v>
      </c>
      <c r="AW4">
        <v>3</v>
      </c>
      <c r="AX4">
        <v>3</v>
      </c>
      <c r="AY4">
        <v>3</v>
      </c>
      <c r="AZ4">
        <v>3</v>
      </c>
      <c r="BA4">
        <v>3</v>
      </c>
      <c r="BB4">
        <v>3</v>
      </c>
      <c r="BC4">
        <v>4</v>
      </c>
      <c r="BD4">
        <v>4</v>
      </c>
      <c r="BE4">
        <v>4</v>
      </c>
      <c r="BF4">
        <v>4</v>
      </c>
      <c r="BG4">
        <v>4</v>
      </c>
      <c r="BH4">
        <v>3</v>
      </c>
      <c r="BI4">
        <v>1</v>
      </c>
      <c r="BJ4">
        <v>3</v>
      </c>
      <c r="BK4">
        <v>4</v>
      </c>
      <c r="BL4">
        <v>3</v>
      </c>
      <c r="BM4">
        <v>4</v>
      </c>
      <c r="BN4">
        <v>3</v>
      </c>
      <c r="BO4">
        <v>3</v>
      </c>
      <c r="BP4">
        <v>4</v>
      </c>
      <c r="BQ4">
        <v>3</v>
      </c>
      <c r="BR4">
        <v>4</v>
      </c>
      <c r="BS4">
        <v>4</v>
      </c>
      <c r="BT4">
        <v>3</v>
      </c>
      <c r="BU4">
        <v>4</v>
      </c>
      <c r="BV4">
        <v>4</v>
      </c>
      <c r="BW4">
        <v>4</v>
      </c>
      <c r="BX4">
        <v>3</v>
      </c>
      <c r="BY4">
        <v>3</v>
      </c>
      <c r="BZ4">
        <v>3</v>
      </c>
      <c r="CA4">
        <v>3</v>
      </c>
      <c r="CB4">
        <v>3</v>
      </c>
      <c r="CC4">
        <v>3</v>
      </c>
      <c r="CD4">
        <v>3</v>
      </c>
      <c r="CE4">
        <v>3</v>
      </c>
      <c r="CF4">
        <v>3</v>
      </c>
      <c r="CG4">
        <v>3</v>
      </c>
      <c r="CH4">
        <v>4</v>
      </c>
      <c r="CI4">
        <v>4</v>
      </c>
      <c r="CJ4">
        <v>4</v>
      </c>
      <c r="CK4">
        <v>4</v>
      </c>
      <c r="CL4">
        <v>4</v>
      </c>
      <c r="CM4">
        <v>4</v>
      </c>
      <c r="CN4">
        <v>3</v>
      </c>
      <c r="CO4">
        <v>4</v>
      </c>
      <c r="CP4">
        <v>2</v>
      </c>
      <c r="CQ4">
        <v>3</v>
      </c>
      <c r="CR4">
        <v>3</v>
      </c>
      <c r="CS4">
        <v>3</v>
      </c>
      <c r="CT4">
        <v>3</v>
      </c>
      <c r="CU4">
        <v>4</v>
      </c>
      <c r="CV4">
        <v>3</v>
      </c>
      <c r="CW4">
        <v>3</v>
      </c>
      <c r="CX4">
        <v>4</v>
      </c>
      <c r="CY4">
        <v>2</v>
      </c>
      <c r="CZ4">
        <v>2</v>
      </c>
      <c r="DA4">
        <v>2</v>
      </c>
      <c r="DB4">
        <v>4</v>
      </c>
      <c r="DC4">
        <v>2</v>
      </c>
      <c r="DD4">
        <v>3</v>
      </c>
      <c r="DE4">
        <v>3</v>
      </c>
      <c r="DF4">
        <v>3</v>
      </c>
      <c r="DG4">
        <v>3</v>
      </c>
      <c r="DH4">
        <v>3</v>
      </c>
      <c r="DI4">
        <v>4</v>
      </c>
      <c r="DJ4">
        <v>4</v>
      </c>
      <c r="DK4">
        <v>4</v>
      </c>
      <c r="DL4">
        <v>1</v>
      </c>
      <c r="DM4">
        <v>3</v>
      </c>
      <c r="DN4">
        <v>3</v>
      </c>
      <c r="DO4">
        <v>3</v>
      </c>
      <c r="DP4">
        <v>4</v>
      </c>
      <c r="DQ4">
        <v>4</v>
      </c>
      <c r="DR4">
        <v>4</v>
      </c>
      <c r="DS4">
        <v>3</v>
      </c>
      <c r="DT4">
        <v>4</v>
      </c>
      <c r="DU4">
        <v>2</v>
      </c>
      <c r="DV4">
        <v>2</v>
      </c>
      <c r="DW4">
        <v>1</v>
      </c>
      <c r="DX4">
        <v>1</v>
      </c>
      <c r="DY4">
        <v>3</v>
      </c>
      <c r="DZ4">
        <v>3</v>
      </c>
      <c r="EA4">
        <v>4</v>
      </c>
      <c r="EB4">
        <v>4</v>
      </c>
      <c r="EC4">
        <v>4</v>
      </c>
      <c r="ED4">
        <v>4</v>
      </c>
      <c r="EE4">
        <v>4</v>
      </c>
      <c r="EF4">
        <v>4</v>
      </c>
      <c r="EG4">
        <v>4</v>
      </c>
      <c r="EH4">
        <v>3</v>
      </c>
      <c r="EI4">
        <v>1</v>
      </c>
      <c r="EJ4">
        <v>3</v>
      </c>
      <c r="EK4">
        <v>3</v>
      </c>
      <c r="EL4">
        <v>4</v>
      </c>
      <c r="EM4">
        <v>3</v>
      </c>
      <c r="EN4">
        <v>2</v>
      </c>
      <c r="EO4">
        <v>2</v>
      </c>
      <c r="EP4">
        <v>3</v>
      </c>
      <c r="EQ4">
        <v>3</v>
      </c>
      <c r="ER4">
        <v>3</v>
      </c>
      <c r="ES4">
        <v>3</v>
      </c>
      <c r="ET4">
        <v>3</v>
      </c>
      <c r="EU4">
        <v>3</v>
      </c>
      <c r="EV4">
        <v>3</v>
      </c>
      <c r="EW4">
        <v>4</v>
      </c>
      <c r="EX4">
        <v>4</v>
      </c>
      <c r="EY4">
        <v>4</v>
      </c>
      <c r="EZ4">
        <v>4</v>
      </c>
      <c r="FA4">
        <v>4</v>
      </c>
      <c r="FB4">
        <v>4</v>
      </c>
      <c r="FC4">
        <v>4</v>
      </c>
      <c r="FD4">
        <v>3</v>
      </c>
      <c r="FE4">
        <v>3</v>
      </c>
      <c r="FF4">
        <v>3</v>
      </c>
      <c r="FG4">
        <v>3</v>
      </c>
      <c r="FH4">
        <v>3</v>
      </c>
      <c r="FI4">
        <v>3</v>
      </c>
      <c r="FJ4">
        <v>3</v>
      </c>
      <c r="FK4">
        <v>3</v>
      </c>
      <c r="FL4">
        <v>3</v>
      </c>
      <c r="FM4">
        <v>3</v>
      </c>
      <c r="FN4">
        <v>3</v>
      </c>
      <c r="FO4">
        <v>3</v>
      </c>
      <c r="FP4">
        <v>4</v>
      </c>
      <c r="FQ4">
        <v>4</v>
      </c>
      <c r="FR4">
        <v>4</v>
      </c>
      <c r="FS4">
        <v>4</v>
      </c>
      <c r="FT4">
        <v>4</v>
      </c>
      <c r="FU4">
        <v>4</v>
      </c>
      <c r="FV4">
        <v>4</v>
      </c>
      <c r="FW4">
        <v>4</v>
      </c>
      <c r="FX4">
        <v>4</v>
      </c>
      <c r="FY4">
        <v>4</v>
      </c>
      <c r="FZ4">
        <v>4</v>
      </c>
      <c r="GA4">
        <v>4</v>
      </c>
      <c r="GB4">
        <v>4</v>
      </c>
      <c r="GC4">
        <v>3</v>
      </c>
      <c r="GD4">
        <v>3</v>
      </c>
      <c r="GE4">
        <v>4</v>
      </c>
      <c r="GF4">
        <v>4</v>
      </c>
      <c r="GG4">
        <v>4</v>
      </c>
      <c r="GH4">
        <v>3</v>
      </c>
      <c r="GI4">
        <v>4</v>
      </c>
      <c r="GJ4">
        <v>3</v>
      </c>
      <c r="GK4">
        <v>3</v>
      </c>
      <c r="GL4">
        <v>3</v>
      </c>
      <c r="GM4">
        <v>4</v>
      </c>
      <c r="GN4">
        <v>4</v>
      </c>
      <c r="GO4">
        <v>4</v>
      </c>
      <c r="GP4">
        <v>4</v>
      </c>
      <c r="GQ4">
        <v>4</v>
      </c>
      <c r="GR4">
        <v>1</v>
      </c>
      <c r="GS4">
        <v>3</v>
      </c>
      <c r="GT4">
        <v>4</v>
      </c>
    </row>
    <row r="5" spans="1:202" x14ac:dyDescent="0.2">
      <c r="A5" t="s">
        <v>205</v>
      </c>
      <c r="B5" t="s">
        <v>212</v>
      </c>
      <c r="C5" t="s">
        <v>212</v>
      </c>
      <c r="E5" t="s">
        <v>228</v>
      </c>
      <c r="F5" t="s">
        <v>239</v>
      </c>
      <c r="G5" t="s">
        <v>212</v>
      </c>
      <c r="H5" t="s">
        <v>228</v>
      </c>
      <c r="I5" t="s">
        <v>220</v>
      </c>
      <c r="J5" t="s">
        <v>220</v>
      </c>
      <c r="K5" t="s">
        <v>220</v>
      </c>
      <c r="L5" t="s">
        <v>220</v>
      </c>
      <c r="M5" t="s">
        <v>220</v>
      </c>
      <c r="N5" t="s">
        <v>212</v>
      </c>
      <c r="O5" t="s">
        <v>212</v>
      </c>
      <c r="P5" t="s">
        <v>245</v>
      </c>
      <c r="R5" t="s">
        <v>212</v>
      </c>
      <c r="S5" t="s">
        <v>207</v>
      </c>
      <c r="T5" t="s">
        <v>207</v>
      </c>
      <c r="U5" t="s">
        <v>228</v>
      </c>
      <c r="V5" t="s">
        <v>212</v>
      </c>
      <c r="W5" t="s">
        <v>212</v>
      </c>
      <c r="X5" t="s">
        <v>212</v>
      </c>
      <c r="Y5" t="s">
        <v>212</v>
      </c>
      <c r="Z5" t="s">
        <v>228</v>
      </c>
      <c r="AA5" t="s">
        <v>212</v>
      </c>
      <c r="AB5" t="s">
        <v>212</v>
      </c>
      <c r="AC5" t="s">
        <v>220</v>
      </c>
      <c r="AE5" t="s">
        <v>228</v>
      </c>
      <c r="AF5" t="s">
        <v>235</v>
      </c>
      <c r="AH5" t="s">
        <v>235</v>
      </c>
      <c r="AI5" t="s">
        <v>239</v>
      </c>
      <c r="AJ5" t="s">
        <v>212</v>
      </c>
      <c r="AK5" t="s">
        <v>212</v>
      </c>
      <c r="AM5" t="s">
        <v>212</v>
      </c>
      <c r="AN5" t="s">
        <v>212</v>
      </c>
      <c r="AO5" t="s">
        <v>212</v>
      </c>
      <c r="AP5" t="s">
        <v>212</v>
      </c>
      <c r="AQ5" t="s">
        <v>228</v>
      </c>
      <c r="AR5" t="s">
        <v>228</v>
      </c>
      <c r="AS5" t="s">
        <v>228</v>
      </c>
      <c r="AT5" t="s">
        <v>228</v>
      </c>
      <c r="AU5" t="s">
        <v>212</v>
      </c>
      <c r="AV5" t="s">
        <v>212</v>
      </c>
      <c r="AW5" t="s">
        <v>212</v>
      </c>
      <c r="AX5" t="s">
        <v>212</v>
      </c>
      <c r="AY5" t="s">
        <v>212</v>
      </c>
      <c r="AZ5" t="s">
        <v>212</v>
      </c>
      <c r="BA5" t="s">
        <v>212</v>
      </c>
      <c r="BB5" t="s">
        <v>212</v>
      </c>
      <c r="BC5" t="s">
        <v>228</v>
      </c>
      <c r="BD5" t="s">
        <v>228</v>
      </c>
      <c r="BE5" t="s">
        <v>228</v>
      </c>
      <c r="BF5" t="s">
        <v>228</v>
      </c>
      <c r="BH5" t="s">
        <v>212</v>
      </c>
      <c r="BI5" t="s">
        <v>235</v>
      </c>
      <c r="BJ5" t="s">
        <v>212</v>
      </c>
      <c r="BK5" t="s">
        <v>228</v>
      </c>
      <c r="BL5" t="s">
        <v>212</v>
      </c>
      <c r="BN5" t="s">
        <v>212</v>
      </c>
      <c r="BO5" t="s">
        <v>212</v>
      </c>
      <c r="BQ5" t="s">
        <v>212</v>
      </c>
      <c r="BR5" t="s">
        <v>228</v>
      </c>
      <c r="BT5" t="s">
        <v>212</v>
      </c>
      <c r="BU5" t="s">
        <v>228</v>
      </c>
      <c r="BV5" t="s">
        <v>228</v>
      </c>
      <c r="BX5" t="s">
        <v>212</v>
      </c>
      <c r="BY5" t="s">
        <v>212</v>
      </c>
      <c r="BZ5" t="s">
        <v>245</v>
      </c>
      <c r="CA5" t="s">
        <v>212</v>
      </c>
      <c r="CB5" t="s">
        <v>212</v>
      </c>
      <c r="CC5" t="s">
        <v>212</v>
      </c>
      <c r="CD5" t="s">
        <v>212</v>
      </c>
      <c r="CE5" t="s">
        <v>212</v>
      </c>
      <c r="CF5" t="s">
        <v>245</v>
      </c>
      <c r="CG5" t="s">
        <v>212</v>
      </c>
      <c r="CH5" t="s">
        <v>228</v>
      </c>
      <c r="CI5" t="s">
        <v>228</v>
      </c>
      <c r="CK5" t="s">
        <v>228</v>
      </c>
      <c r="CL5" t="s">
        <v>228</v>
      </c>
      <c r="CN5" t="s">
        <v>212</v>
      </c>
      <c r="CP5" t="s">
        <v>220</v>
      </c>
      <c r="CQ5" t="s">
        <v>212</v>
      </c>
      <c r="CR5" t="s">
        <v>212</v>
      </c>
      <c r="CS5" t="s">
        <v>212</v>
      </c>
      <c r="CT5" t="s">
        <v>212</v>
      </c>
      <c r="CU5" t="s">
        <v>228</v>
      </c>
      <c r="CV5" t="s">
        <v>212</v>
      </c>
      <c r="CW5" t="s">
        <v>212</v>
      </c>
      <c r="CY5" t="s">
        <v>220</v>
      </c>
      <c r="CZ5" t="s">
        <v>220</v>
      </c>
      <c r="DA5" t="s">
        <v>220</v>
      </c>
      <c r="DB5" t="s">
        <v>228</v>
      </c>
      <c r="DC5" t="s">
        <v>220</v>
      </c>
      <c r="DD5" t="s">
        <v>212</v>
      </c>
      <c r="DE5" t="s">
        <v>212</v>
      </c>
      <c r="DF5" t="s">
        <v>212</v>
      </c>
      <c r="DG5" t="s">
        <v>212</v>
      </c>
      <c r="DH5" t="s">
        <v>212</v>
      </c>
      <c r="DJ5" t="s">
        <v>228</v>
      </c>
      <c r="DK5" t="s">
        <v>207</v>
      </c>
      <c r="DL5" t="s">
        <v>239</v>
      </c>
      <c r="DM5" t="s">
        <v>245</v>
      </c>
      <c r="DN5" t="s">
        <v>212</v>
      </c>
      <c r="DO5" t="s">
        <v>212</v>
      </c>
      <c r="DP5" t="s">
        <v>228</v>
      </c>
      <c r="DQ5" t="s">
        <v>228</v>
      </c>
      <c r="DR5" t="s">
        <v>228</v>
      </c>
      <c r="DS5" t="s">
        <v>245</v>
      </c>
      <c r="DU5" t="s">
        <v>220</v>
      </c>
      <c r="DV5" t="s">
        <v>220</v>
      </c>
      <c r="DW5" t="s">
        <v>239</v>
      </c>
      <c r="DX5" t="s">
        <v>239</v>
      </c>
      <c r="DY5" t="s">
        <v>212</v>
      </c>
      <c r="DZ5" t="s">
        <v>212</v>
      </c>
      <c r="EA5" t="s">
        <v>228</v>
      </c>
      <c r="EC5" t="s">
        <v>228</v>
      </c>
      <c r="ED5" t="s">
        <v>228</v>
      </c>
      <c r="EE5" t="s">
        <v>228</v>
      </c>
      <c r="EF5" t="s">
        <v>228</v>
      </c>
      <c r="EG5" t="s">
        <v>228</v>
      </c>
      <c r="EH5" t="s">
        <v>212</v>
      </c>
      <c r="EI5" t="s">
        <v>239</v>
      </c>
      <c r="EJ5" t="s">
        <v>212</v>
      </c>
      <c r="EK5" t="s">
        <v>212</v>
      </c>
      <c r="EL5" t="s">
        <v>228</v>
      </c>
      <c r="EM5" t="s">
        <v>212</v>
      </c>
      <c r="EN5" t="s">
        <v>220</v>
      </c>
      <c r="EO5" t="s">
        <v>220</v>
      </c>
      <c r="EP5" t="s">
        <v>212</v>
      </c>
      <c r="EQ5" t="s">
        <v>212</v>
      </c>
      <c r="ER5" t="s">
        <v>212</v>
      </c>
      <c r="ES5" t="s">
        <v>212</v>
      </c>
      <c r="ET5" t="s">
        <v>212</v>
      </c>
      <c r="EU5" t="s">
        <v>212</v>
      </c>
      <c r="EV5" t="s">
        <v>245</v>
      </c>
      <c r="EZ5" t="s">
        <v>228</v>
      </c>
      <c r="FA5" t="s">
        <v>228</v>
      </c>
      <c r="FB5" t="s">
        <v>207</v>
      </c>
      <c r="FD5" t="s">
        <v>212</v>
      </c>
      <c r="FE5" t="s">
        <v>212</v>
      </c>
      <c r="FF5" t="s">
        <v>212</v>
      </c>
      <c r="FG5" t="s">
        <v>212</v>
      </c>
      <c r="FH5" t="s">
        <v>212</v>
      </c>
      <c r="FI5" t="s">
        <v>212</v>
      </c>
      <c r="FJ5" t="s">
        <v>212</v>
      </c>
      <c r="FK5" t="s">
        <v>212</v>
      </c>
      <c r="FL5" t="s">
        <v>212</v>
      </c>
      <c r="FM5" t="s">
        <v>212</v>
      </c>
      <c r="FN5" t="s">
        <v>212</v>
      </c>
      <c r="FO5" t="s">
        <v>212</v>
      </c>
      <c r="FP5" t="s">
        <v>228</v>
      </c>
      <c r="FQ5" t="s">
        <v>228</v>
      </c>
      <c r="FR5" t="s">
        <v>228</v>
      </c>
      <c r="FS5" t="s">
        <v>228</v>
      </c>
      <c r="FT5" t="s">
        <v>212</v>
      </c>
      <c r="FV5" t="s">
        <v>207</v>
      </c>
      <c r="FW5" t="s">
        <v>228</v>
      </c>
      <c r="GB5" t="s">
        <v>228</v>
      </c>
      <c r="GC5" t="s">
        <v>212</v>
      </c>
      <c r="GD5" t="s">
        <v>212</v>
      </c>
      <c r="GE5" t="s">
        <v>228</v>
      </c>
      <c r="GH5" t="s">
        <v>212</v>
      </c>
      <c r="GJ5" t="s">
        <v>212</v>
      </c>
      <c r="GK5" t="s">
        <v>212</v>
      </c>
      <c r="GL5" t="s">
        <v>212</v>
      </c>
      <c r="GP5" t="s">
        <v>207</v>
      </c>
      <c r="GQ5" t="s">
        <v>228</v>
      </c>
      <c r="GR5" t="s">
        <v>235</v>
      </c>
      <c r="GS5" t="s">
        <v>212</v>
      </c>
    </row>
    <row r="6" spans="1:202" x14ac:dyDescent="0.2">
      <c r="A6" t="s">
        <v>206</v>
      </c>
      <c r="B6">
        <v>1993</v>
      </c>
      <c r="C6">
        <v>1971</v>
      </c>
      <c r="D6">
        <v>1976</v>
      </c>
      <c r="E6">
        <v>1988</v>
      </c>
      <c r="F6">
        <v>1990</v>
      </c>
      <c r="G6">
        <v>1977</v>
      </c>
      <c r="H6">
        <v>1990</v>
      </c>
      <c r="I6">
        <v>1985</v>
      </c>
      <c r="J6">
        <v>1985</v>
      </c>
      <c r="K6">
        <v>1951</v>
      </c>
      <c r="L6">
        <v>1954</v>
      </c>
      <c r="M6">
        <v>1995</v>
      </c>
      <c r="N6">
        <v>1977</v>
      </c>
      <c r="O6">
        <v>1972</v>
      </c>
      <c r="P6">
        <v>1977</v>
      </c>
      <c r="Q6">
        <v>1988</v>
      </c>
      <c r="R6">
        <v>1976</v>
      </c>
      <c r="S6">
        <v>1995</v>
      </c>
      <c r="T6">
        <v>1995</v>
      </c>
      <c r="U6">
        <v>1997</v>
      </c>
      <c r="V6">
        <v>1995</v>
      </c>
      <c r="W6">
        <v>1975</v>
      </c>
      <c r="X6">
        <v>1979</v>
      </c>
      <c r="Y6">
        <v>1987</v>
      </c>
      <c r="Z6">
        <v>1999</v>
      </c>
      <c r="AA6">
        <v>1971</v>
      </c>
      <c r="AB6">
        <v>1980</v>
      </c>
      <c r="AC6">
        <v>1954</v>
      </c>
      <c r="AD6">
        <v>1990</v>
      </c>
      <c r="AE6">
        <v>1990</v>
      </c>
      <c r="AF6">
        <v>1992</v>
      </c>
      <c r="AG6">
        <v>1973</v>
      </c>
      <c r="AH6">
        <v>1992</v>
      </c>
      <c r="AI6">
        <v>1992</v>
      </c>
      <c r="AJ6">
        <v>1997</v>
      </c>
      <c r="AK6">
        <v>1993</v>
      </c>
      <c r="AL6">
        <v>1979</v>
      </c>
      <c r="AM6">
        <v>1981</v>
      </c>
      <c r="AN6">
        <v>1975</v>
      </c>
      <c r="AO6">
        <v>1975</v>
      </c>
      <c r="AP6">
        <v>1988</v>
      </c>
      <c r="AQ6">
        <v>1982</v>
      </c>
      <c r="AR6">
        <v>1986</v>
      </c>
      <c r="AS6">
        <v>1968</v>
      </c>
      <c r="AT6">
        <v>1971</v>
      </c>
      <c r="AU6">
        <v>1974</v>
      </c>
      <c r="AV6">
        <v>1979</v>
      </c>
      <c r="AW6">
        <v>1974</v>
      </c>
      <c r="AX6">
        <v>1973</v>
      </c>
      <c r="AY6">
        <v>1973</v>
      </c>
      <c r="AZ6">
        <v>1978</v>
      </c>
      <c r="BA6">
        <v>1994</v>
      </c>
      <c r="BB6">
        <v>1987</v>
      </c>
      <c r="BC6">
        <v>1973</v>
      </c>
      <c r="BD6">
        <v>1985</v>
      </c>
      <c r="BE6">
        <v>1985</v>
      </c>
      <c r="BF6">
        <v>1973</v>
      </c>
      <c r="BG6">
        <v>1995</v>
      </c>
      <c r="BH6">
        <v>2001</v>
      </c>
      <c r="BI6">
        <v>1978</v>
      </c>
      <c r="BJ6">
        <v>1979</v>
      </c>
      <c r="BK6">
        <v>1976</v>
      </c>
      <c r="BL6">
        <v>1980</v>
      </c>
      <c r="BM6">
        <v>1995</v>
      </c>
      <c r="BN6">
        <v>1981</v>
      </c>
      <c r="BO6">
        <v>1993</v>
      </c>
      <c r="BP6">
        <v>1992</v>
      </c>
      <c r="BQ6">
        <v>1995</v>
      </c>
      <c r="BR6">
        <v>1981</v>
      </c>
      <c r="BS6">
        <v>1983</v>
      </c>
      <c r="BT6">
        <v>1970</v>
      </c>
      <c r="BU6">
        <v>1986</v>
      </c>
      <c r="BV6">
        <v>1970</v>
      </c>
      <c r="BW6">
        <v>1977</v>
      </c>
      <c r="BX6">
        <v>1983</v>
      </c>
      <c r="BY6">
        <v>1992</v>
      </c>
      <c r="BZ6">
        <v>1973</v>
      </c>
      <c r="CA6">
        <v>1981</v>
      </c>
      <c r="CB6">
        <v>1978</v>
      </c>
      <c r="CC6">
        <v>1979</v>
      </c>
      <c r="CD6">
        <v>1972</v>
      </c>
      <c r="CE6">
        <v>1966</v>
      </c>
      <c r="CF6">
        <v>1979</v>
      </c>
      <c r="CG6">
        <v>1967</v>
      </c>
      <c r="CH6">
        <v>1973</v>
      </c>
      <c r="CI6">
        <v>1973</v>
      </c>
      <c r="CJ6">
        <v>1972</v>
      </c>
      <c r="CK6">
        <v>2004</v>
      </c>
      <c r="CL6">
        <v>1968</v>
      </c>
      <c r="CM6">
        <v>1988</v>
      </c>
      <c r="CN6">
        <v>1998</v>
      </c>
      <c r="CO6">
        <v>1994</v>
      </c>
      <c r="CP6">
        <v>1974</v>
      </c>
      <c r="CQ6">
        <v>1973</v>
      </c>
      <c r="CR6">
        <v>1978</v>
      </c>
      <c r="CS6">
        <v>1974</v>
      </c>
      <c r="CT6">
        <v>1978</v>
      </c>
      <c r="CU6">
        <v>1981</v>
      </c>
      <c r="CV6">
        <v>1977</v>
      </c>
      <c r="CW6">
        <v>1977</v>
      </c>
      <c r="CX6">
        <v>1988</v>
      </c>
      <c r="CY6">
        <v>1969</v>
      </c>
      <c r="CZ6">
        <v>1973</v>
      </c>
      <c r="DA6">
        <v>1964</v>
      </c>
      <c r="DB6">
        <v>1980</v>
      </c>
      <c r="DC6">
        <v>1967</v>
      </c>
      <c r="DD6">
        <v>1978</v>
      </c>
      <c r="DE6">
        <v>1964</v>
      </c>
      <c r="DF6">
        <v>1979</v>
      </c>
      <c r="DG6">
        <v>1967</v>
      </c>
      <c r="DH6">
        <v>1987</v>
      </c>
      <c r="DI6">
        <v>1970</v>
      </c>
      <c r="DJ6">
        <v>1978</v>
      </c>
      <c r="DK6">
        <v>1992</v>
      </c>
      <c r="DL6">
        <v>1987</v>
      </c>
      <c r="DM6">
        <v>1990</v>
      </c>
      <c r="DN6">
        <v>1978</v>
      </c>
      <c r="DO6">
        <v>1978</v>
      </c>
      <c r="DP6">
        <v>1975</v>
      </c>
      <c r="DQ6">
        <v>1991</v>
      </c>
      <c r="DR6">
        <v>1983</v>
      </c>
      <c r="DS6">
        <v>1975</v>
      </c>
      <c r="DT6">
        <v>1990</v>
      </c>
      <c r="DU6">
        <v>1963</v>
      </c>
      <c r="DV6">
        <v>1967</v>
      </c>
      <c r="DW6">
        <v>1990</v>
      </c>
      <c r="DX6">
        <v>1981</v>
      </c>
      <c r="DY6">
        <v>1986</v>
      </c>
      <c r="DZ6">
        <v>1977</v>
      </c>
      <c r="EA6">
        <v>1966</v>
      </c>
      <c r="EB6">
        <v>1966</v>
      </c>
      <c r="EC6">
        <v>1972</v>
      </c>
      <c r="ED6">
        <v>1972</v>
      </c>
      <c r="EE6">
        <v>1977</v>
      </c>
      <c r="EF6">
        <v>1980</v>
      </c>
      <c r="EG6">
        <v>1977</v>
      </c>
      <c r="EH6">
        <v>1974</v>
      </c>
      <c r="EI6">
        <v>1981</v>
      </c>
      <c r="EJ6">
        <v>1980</v>
      </c>
      <c r="EK6">
        <v>1984</v>
      </c>
      <c r="EL6">
        <v>1972</v>
      </c>
      <c r="EM6">
        <v>1995</v>
      </c>
      <c r="EN6">
        <v>1983</v>
      </c>
      <c r="EO6">
        <v>1996</v>
      </c>
      <c r="EP6">
        <v>1975</v>
      </c>
      <c r="EQ6">
        <v>1985</v>
      </c>
      <c r="ER6">
        <v>1972</v>
      </c>
      <c r="ES6">
        <v>1980</v>
      </c>
      <c r="ET6">
        <v>1990</v>
      </c>
      <c r="EU6">
        <v>1975</v>
      </c>
      <c r="EV6">
        <v>2009</v>
      </c>
      <c r="EW6">
        <v>1991</v>
      </c>
      <c r="EX6">
        <v>1991</v>
      </c>
      <c r="EY6">
        <v>1981</v>
      </c>
      <c r="EZ6">
        <v>1989</v>
      </c>
      <c r="FA6">
        <v>1986</v>
      </c>
      <c r="FB6">
        <v>1960</v>
      </c>
      <c r="FC6">
        <v>1991</v>
      </c>
      <c r="FD6">
        <v>1976</v>
      </c>
      <c r="FE6">
        <v>1976</v>
      </c>
      <c r="FF6">
        <v>1980</v>
      </c>
      <c r="FG6">
        <v>1980</v>
      </c>
      <c r="FH6">
        <v>1976</v>
      </c>
      <c r="FI6">
        <v>1964</v>
      </c>
      <c r="FJ6">
        <v>1977</v>
      </c>
      <c r="FK6">
        <v>1978</v>
      </c>
      <c r="FL6">
        <v>1978</v>
      </c>
      <c r="FM6">
        <v>1978</v>
      </c>
      <c r="FN6">
        <v>1976</v>
      </c>
      <c r="FO6">
        <v>1976</v>
      </c>
      <c r="FP6">
        <v>1974</v>
      </c>
      <c r="FQ6">
        <v>1993</v>
      </c>
      <c r="FR6">
        <v>1982</v>
      </c>
      <c r="FS6">
        <v>1974</v>
      </c>
      <c r="FT6">
        <v>1971</v>
      </c>
      <c r="FU6">
        <v>1985</v>
      </c>
      <c r="FV6">
        <v>1979</v>
      </c>
      <c r="FW6">
        <v>1968</v>
      </c>
      <c r="FX6">
        <v>1981</v>
      </c>
      <c r="FY6">
        <v>1979</v>
      </c>
      <c r="FZ6">
        <v>1986</v>
      </c>
      <c r="GA6">
        <v>1986</v>
      </c>
      <c r="GB6">
        <v>1980</v>
      </c>
      <c r="GC6">
        <v>1997</v>
      </c>
      <c r="GD6">
        <v>1991</v>
      </c>
      <c r="GE6">
        <v>1995</v>
      </c>
      <c r="GF6">
        <v>2009</v>
      </c>
      <c r="GG6">
        <v>2001</v>
      </c>
      <c r="GH6">
        <v>1976</v>
      </c>
      <c r="GI6">
        <v>1986</v>
      </c>
      <c r="GJ6">
        <v>1973</v>
      </c>
      <c r="GK6">
        <v>1973</v>
      </c>
      <c r="GL6">
        <v>1974</v>
      </c>
      <c r="GM6">
        <v>1988</v>
      </c>
      <c r="GN6">
        <v>1988</v>
      </c>
      <c r="GO6">
        <v>1988</v>
      </c>
      <c r="GP6">
        <v>1984</v>
      </c>
      <c r="GQ6">
        <v>1993</v>
      </c>
      <c r="GR6">
        <v>1996</v>
      </c>
      <c r="GS6">
        <v>1980</v>
      </c>
      <c r="GT6">
        <v>1991</v>
      </c>
    </row>
    <row r="7" spans="1:202" x14ac:dyDescent="0.2">
      <c r="A7" t="s">
        <v>199</v>
      </c>
      <c r="B7">
        <v>1</v>
      </c>
      <c r="C7">
        <v>5</v>
      </c>
      <c r="D7">
        <v>5</v>
      </c>
      <c r="E7">
        <v>21</v>
      </c>
      <c r="F7">
        <v>8</v>
      </c>
      <c r="G7">
        <v>2</v>
      </c>
      <c r="H7">
        <v>12</v>
      </c>
      <c r="I7">
        <v>21</v>
      </c>
      <c r="J7">
        <v>1</v>
      </c>
      <c r="K7">
        <v>765</v>
      </c>
      <c r="L7">
        <v>4</v>
      </c>
      <c r="M7">
        <v>4</v>
      </c>
      <c r="N7">
        <v>13</v>
      </c>
      <c r="O7">
        <v>84</v>
      </c>
      <c r="P7">
        <v>12</v>
      </c>
      <c r="Q7">
        <v>2</v>
      </c>
      <c r="R7">
        <v>2</v>
      </c>
      <c r="S7">
        <v>2</v>
      </c>
      <c r="T7">
        <v>8</v>
      </c>
      <c r="U7">
        <v>2</v>
      </c>
      <c r="V7">
        <v>1</v>
      </c>
      <c r="W7">
        <v>2</v>
      </c>
      <c r="X7">
        <v>9</v>
      </c>
      <c r="Y7">
        <v>6</v>
      </c>
      <c r="Z7">
        <v>3</v>
      </c>
      <c r="AA7">
        <v>4</v>
      </c>
      <c r="AB7">
        <v>291</v>
      </c>
      <c r="AC7">
        <v>136</v>
      </c>
      <c r="AD7">
        <v>1</v>
      </c>
      <c r="AE7">
        <v>5</v>
      </c>
      <c r="AF7">
        <v>2</v>
      </c>
      <c r="AG7">
        <v>7</v>
      </c>
      <c r="AH7">
        <v>1</v>
      </c>
      <c r="AI7">
        <v>1</v>
      </c>
      <c r="AJ7">
        <v>3</v>
      </c>
      <c r="AK7">
        <v>1</v>
      </c>
      <c r="AL7">
        <v>1</v>
      </c>
      <c r="AM7">
        <v>20</v>
      </c>
      <c r="AN7">
        <v>1</v>
      </c>
      <c r="AO7">
        <v>43</v>
      </c>
      <c r="AP7">
        <v>6</v>
      </c>
      <c r="AQ7">
        <v>51</v>
      </c>
      <c r="AR7">
        <v>1</v>
      </c>
      <c r="AS7">
        <v>14</v>
      </c>
      <c r="AT7">
        <v>9</v>
      </c>
      <c r="AU7">
        <v>17</v>
      </c>
      <c r="AV7">
        <v>2</v>
      </c>
      <c r="AW7">
        <v>1</v>
      </c>
      <c r="AX7">
        <v>1</v>
      </c>
      <c r="AY7">
        <v>9</v>
      </c>
      <c r="AZ7">
        <v>8</v>
      </c>
      <c r="BA7">
        <v>25</v>
      </c>
      <c r="BB7">
        <v>5</v>
      </c>
      <c r="BC7">
        <v>52</v>
      </c>
      <c r="BD7">
        <v>3</v>
      </c>
      <c r="BE7">
        <v>6</v>
      </c>
      <c r="BF7">
        <v>27</v>
      </c>
      <c r="BG7">
        <v>1</v>
      </c>
      <c r="BH7">
        <v>7</v>
      </c>
      <c r="BI7">
        <v>12</v>
      </c>
      <c r="BJ7">
        <v>41</v>
      </c>
      <c r="BK7">
        <v>4</v>
      </c>
      <c r="BL7">
        <v>66</v>
      </c>
      <c r="BM7">
        <v>10</v>
      </c>
      <c r="BN7">
        <v>231</v>
      </c>
      <c r="BO7">
        <v>88</v>
      </c>
      <c r="BP7">
        <v>1</v>
      </c>
      <c r="BQ7">
        <v>1</v>
      </c>
      <c r="BR7">
        <v>5</v>
      </c>
      <c r="BS7">
        <v>2</v>
      </c>
      <c r="BT7">
        <v>9</v>
      </c>
      <c r="BU7">
        <v>6</v>
      </c>
      <c r="BV7">
        <v>151</v>
      </c>
      <c r="BW7">
        <v>2</v>
      </c>
      <c r="BX7">
        <v>3</v>
      </c>
      <c r="BY7">
        <v>1</v>
      </c>
      <c r="BZ7">
        <v>22</v>
      </c>
      <c r="CA7">
        <v>10</v>
      </c>
      <c r="CB7">
        <v>6</v>
      </c>
      <c r="CC7">
        <v>40</v>
      </c>
      <c r="CD7">
        <v>3</v>
      </c>
      <c r="CE7">
        <v>114</v>
      </c>
      <c r="CF7">
        <v>1</v>
      </c>
      <c r="CG7">
        <v>30</v>
      </c>
      <c r="CH7">
        <v>35</v>
      </c>
      <c r="CI7">
        <v>42</v>
      </c>
      <c r="CJ7">
        <v>3</v>
      </c>
      <c r="CK7">
        <v>4</v>
      </c>
      <c r="CL7">
        <v>29</v>
      </c>
      <c r="CM7">
        <v>2</v>
      </c>
      <c r="CN7">
        <v>1</v>
      </c>
      <c r="CO7">
        <v>1</v>
      </c>
      <c r="CP7">
        <v>12</v>
      </c>
      <c r="CQ7">
        <v>268</v>
      </c>
      <c r="CR7">
        <v>20</v>
      </c>
      <c r="CS7">
        <v>284</v>
      </c>
      <c r="CT7">
        <v>3</v>
      </c>
      <c r="CU7">
        <v>82</v>
      </c>
      <c r="CV7">
        <v>26</v>
      </c>
      <c r="CW7">
        <v>0</v>
      </c>
      <c r="CX7">
        <v>1</v>
      </c>
      <c r="CY7">
        <v>3</v>
      </c>
      <c r="CZ7">
        <v>3</v>
      </c>
      <c r="DA7">
        <v>53</v>
      </c>
      <c r="DB7">
        <v>2</v>
      </c>
      <c r="DC7">
        <v>2</v>
      </c>
      <c r="DD7">
        <v>9</v>
      </c>
      <c r="DE7">
        <v>20</v>
      </c>
      <c r="DF7">
        <v>21</v>
      </c>
      <c r="DG7">
        <v>2</v>
      </c>
      <c r="DH7">
        <v>1</v>
      </c>
      <c r="DI7">
        <v>2</v>
      </c>
      <c r="DJ7">
        <v>20</v>
      </c>
      <c r="DK7">
        <v>2</v>
      </c>
      <c r="DL7">
        <v>35</v>
      </c>
      <c r="DM7">
        <v>12</v>
      </c>
      <c r="DN7">
        <v>73</v>
      </c>
      <c r="DO7">
        <v>59</v>
      </c>
      <c r="DP7">
        <v>501</v>
      </c>
      <c r="DQ7">
        <v>9</v>
      </c>
      <c r="DR7">
        <v>10</v>
      </c>
      <c r="DS7">
        <v>1</v>
      </c>
      <c r="DT7">
        <v>1</v>
      </c>
      <c r="DU7">
        <v>4</v>
      </c>
      <c r="DV7">
        <v>1</v>
      </c>
      <c r="DW7">
        <v>1</v>
      </c>
      <c r="DX7">
        <v>10</v>
      </c>
      <c r="DY7">
        <v>1</v>
      </c>
      <c r="DZ7">
        <v>158</v>
      </c>
      <c r="EA7">
        <v>42</v>
      </c>
      <c r="EB7">
        <v>1</v>
      </c>
      <c r="EC7">
        <v>23</v>
      </c>
      <c r="ED7">
        <v>3</v>
      </c>
      <c r="EE7">
        <v>2</v>
      </c>
      <c r="EF7">
        <v>127</v>
      </c>
      <c r="EG7">
        <v>1</v>
      </c>
      <c r="EH7">
        <v>185</v>
      </c>
      <c r="EI7">
        <v>9</v>
      </c>
      <c r="EJ7">
        <v>10</v>
      </c>
      <c r="EK7">
        <v>1</v>
      </c>
      <c r="EL7">
        <v>9</v>
      </c>
      <c r="EM7">
        <v>1</v>
      </c>
      <c r="EN7">
        <v>4</v>
      </c>
      <c r="EO7">
        <v>24</v>
      </c>
      <c r="EP7">
        <v>1</v>
      </c>
      <c r="EQ7">
        <v>3</v>
      </c>
      <c r="ER7">
        <v>244</v>
      </c>
      <c r="ES7">
        <v>6</v>
      </c>
      <c r="ET7">
        <v>1</v>
      </c>
      <c r="EU7">
        <v>1</v>
      </c>
      <c r="EV7">
        <v>56</v>
      </c>
      <c r="EW7">
        <v>1</v>
      </c>
      <c r="EX7">
        <v>1</v>
      </c>
      <c r="EY7">
        <v>4</v>
      </c>
      <c r="EZ7">
        <v>3</v>
      </c>
      <c r="FA7">
        <v>14</v>
      </c>
      <c r="FB7">
        <v>2</v>
      </c>
      <c r="FC7">
        <v>1</v>
      </c>
      <c r="FD7">
        <v>12</v>
      </c>
      <c r="FE7">
        <v>1</v>
      </c>
      <c r="FF7">
        <v>26</v>
      </c>
      <c r="FG7">
        <v>2</v>
      </c>
      <c r="FH7">
        <v>1</v>
      </c>
      <c r="FI7">
        <v>86</v>
      </c>
      <c r="FJ7">
        <v>5</v>
      </c>
      <c r="FK7">
        <v>22</v>
      </c>
      <c r="FL7">
        <v>6</v>
      </c>
      <c r="FM7">
        <v>1</v>
      </c>
      <c r="FN7">
        <v>48</v>
      </c>
      <c r="FO7">
        <v>93</v>
      </c>
      <c r="FP7">
        <v>11</v>
      </c>
      <c r="FQ7">
        <v>2</v>
      </c>
      <c r="FR7">
        <v>16</v>
      </c>
      <c r="FS7">
        <v>9</v>
      </c>
      <c r="FT7">
        <v>24</v>
      </c>
      <c r="FU7">
        <v>2</v>
      </c>
      <c r="FV7">
        <v>61</v>
      </c>
      <c r="FW7">
        <v>2</v>
      </c>
      <c r="FX7">
        <v>188</v>
      </c>
      <c r="FY7">
        <v>20</v>
      </c>
      <c r="FZ7">
        <v>1</v>
      </c>
      <c r="GA7">
        <v>5</v>
      </c>
      <c r="GB7">
        <v>6</v>
      </c>
      <c r="GC7">
        <v>10</v>
      </c>
      <c r="GD7">
        <v>2</v>
      </c>
      <c r="GE7">
        <v>4</v>
      </c>
      <c r="GF7">
        <v>1</v>
      </c>
      <c r="GG7">
        <v>3</v>
      </c>
      <c r="GH7">
        <v>4</v>
      </c>
      <c r="GI7">
        <v>2</v>
      </c>
      <c r="GJ7">
        <v>10</v>
      </c>
      <c r="GK7">
        <v>39</v>
      </c>
      <c r="GL7">
        <v>23</v>
      </c>
      <c r="GM7">
        <v>1</v>
      </c>
      <c r="GN7">
        <v>1</v>
      </c>
      <c r="GO7">
        <v>3</v>
      </c>
      <c r="GP7">
        <v>38</v>
      </c>
      <c r="GQ7">
        <v>1</v>
      </c>
      <c r="GR7">
        <v>137</v>
      </c>
      <c r="GS7">
        <v>4</v>
      </c>
      <c r="GT7">
        <v>1</v>
      </c>
    </row>
    <row r="8" spans="1:202" x14ac:dyDescent="0.2">
      <c r="A8" t="s">
        <v>552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2</v>
      </c>
      <c r="BW8">
        <v>2</v>
      </c>
      <c r="BX8">
        <v>2</v>
      </c>
      <c r="BY8">
        <v>2</v>
      </c>
      <c r="BZ8">
        <v>2</v>
      </c>
      <c r="CA8">
        <v>2</v>
      </c>
      <c r="CB8">
        <v>2</v>
      </c>
      <c r="CC8">
        <v>2</v>
      </c>
      <c r="CD8">
        <v>2</v>
      </c>
      <c r="CE8">
        <v>2</v>
      </c>
      <c r="CF8">
        <v>2</v>
      </c>
      <c r="CG8">
        <v>2</v>
      </c>
      <c r="CH8">
        <v>2</v>
      </c>
      <c r="CI8">
        <v>2</v>
      </c>
      <c r="CJ8">
        <v>2</v>
      </c>
      <c r="CK8">
        <v>2</v>
      </c>
      <c r="CL8">
        <v>2</v>
      </c>
      <c r="CM8">
        <v>2</v>
      </c>
      <c r="CN8">
        <v>3</v>
      </c>
      <c r="CO8">
        <v>3</v>
      </c>
      <c r="CP8">
        <v>3</v>
      </c>
      <c r="CQ8">
        <v>3</v>
      </c>
      <c r="CR8">
        <v>3</v>
      </c>
      <c r="CS8">
        <v>3</v>
      </c>
      <c r="CT8">
        <v>3</v>
      </c>
      <c r="CU8">
        <v>3</v>
      </c>
      <c r="CV8">
        <v>3</v>
      </c>
      <c r="CW8">
        <v>3</v>
      </c>
      <c r="CX8">
        <v>3</v>
      </c>
      <c r="CY8">
        <v>4</v>
      </c>
      <c r="CZ8">
        <v>4</v>
      </c>
      <c r="DA8">
        <v>4</v>
      </c>
      <c r="DB8">
        <v>4</v>
      </c>
      <c r="DC8">
        <v>4</v>
      </c>
      <c r="DD8">
        <v>4</v>
      </c>
      <c r="DE8">
        <v>4</v>
      </c>
      <c r="DF8">
        <v>4</v>
      </c>
      <c r="DG8">
        <v>4</v>
      </c>
      <c r="DH8">
        <v>4</v>
      </c>
      <c r="DI8">
        <v>4</v>
      </c>
      <c r="DJ8">
        <v>4</v>
      </c>
      <c r="DK8">
        <v>4</v>
      </c>
      <c r="DL8">
        <v>4</v>
      </c>
      <c r="DM8">
        <v>4</v>
      </c>
      <c r="DN8">
        <v>4</v>
      </c>
      <c r="DO8">
        <v>4</v>
      </c>
      <c r="DP8">
        <v>4</v>
      </c>
      <c r="DQ8">
        <v>4</v>
      </c>
      <c r="DR8">
        <v>4</v>
      </c>
      <c r="DS8">
        <v>4</v>
      </c>
      <c r="DT8">
        <v>4</v>
      </c>
      <c r="DU8">
        <v>4</v>
      </c>
      <c r="DV8">
        <v>4</v>
      </c>
      <c r="DW8">
        <v>4</v>
      </c>
      <c r="DX8">
        <v>4</v>
      </c>
      <c r="DY8">
        <v>4</v>
      </c>
      <c r="DZ8">
        <v>4</v>
      </c>
      <c r="EA8">
        <v>4</v>
      </c>
      <c r="EB8">
        <v>4</v>
      </c>
      <c r="EC8">
        <v>4</v>
      </c>
      <c r="ED8">
        <v>4</v>
      </c>
      <c r="EE8">
        <v>4</v>
      </c>
      <c r="EF8">
        <v>4</v>
      </c>
      <c r="EG8">
        <v>4</v>
      </c>
      <c r="EH8">
        <v>4</v>
      </c>
      <c r="EI8">
        <v>4</v>
      </c>
      <c r="EJ8">
        <v>4</v>
      </c>
      <c r="EK8">
        <v>4</v>
      </c>
      <c r="EL8">
        <v>4</v>
      </c>
      <c r="EM8">
        <v>5</v>
      </c>
      <c r="EN8">
        <v>5</v>
      </c>
      <c r="EO8">
        <v>5</v>
      </c>
      <c r="EP8">
        <v>5</v>
      </c>
      <c r="EQ8">
        <v>5</v>
      </c>
      <c r="ER8">
        <v>5</v>
      </c>
      <c r="ES8">
        <v>5</v>
      </c>
      <c r="ET8">
        <v>5</v>
      </c>
      <c r="EU8">
        <v>5</v>
      </c>
      <c r="EV8">
        <v>5</v>
      </c>
      <c r="EW8">
        <v>5</v>
      </c>
      <c r="EX8">
        <v>5</v>
      </c>
      <c r="EY8">
        <v>5</v>
      </c>
      <c r="EZ8">
        <v>5</v>
      </c>
      <c r="FA8">
        <v>5</v>
      </c>
      <c r="FB8">
        <v>5</v>
      </c>
      <c r="FC8">
        <v>5</v>
      </c>
      <c r="FD8">
        <v>6</v>
      </c>
      <c r="FE8">
        <v>6</v>
      </c>
      <c r="FF8">
        <v>6</v>
      </c>
      <c r="FG8">
        <v>6</v>
      </c>
      <c r="FH8">
        <v>6</v>
      </c>
      <c r="FI8">
        <v>6</v>
      </c>
      <c r="FJ8">
        <v>6</v>
      </c>
      <c r="FK8">
        <v>6</v>
      </c>
      <c r="FL8">
        <v>6</v>
      </c>
      <c r="FM8">
        <v>6</v>
      </c>
      <c r="FN8">
        <v>6</v>
      </c>
      <c r="FO8">
        <v>6</v>
      </c>
      <c r="FP8">
        <v>6</v>
      </c>
      <c r="FQ8">
        <v>6</v>
      </c>
      <c r="FR8">
        <v>6</v>
      </c>
      <c r="FS8">
        <v>6</v>
      </c>
      <c r="FT8">
        <v>6</v>
      </c>
      <c r="FU8">
        <v>6</v>
      </c>
      <c r="FV8">
        <v>6</v>
      </c>
      <c r="FW8">
        <v>6</v>
      </c>
      <c r="FX8">
        <v>6</v>
      </c>
      <c r="FY8">
        <v>6</v>
      </c>
      <c r="FZ8">
        <v>6</v>
      </c>
      <c r="GA8">
        <v>6</v>
      </c>
      <c r="GB8">
        <v>6</v>
      </c>
      <c r="GC8">
        <v>6</v>
      </c>
      <c r="GD8">
        <v>6</v>
      </c>
      <c r="GE8">
        <v>6</v>
      </c>
      <c r="GF8">
        <v>6</v>
      </c>
      <c r="GG8">
        <v>6</v>
      </c>
      <c r="GH8">
        <v>6</v>
      </c>
      <c r="GI8">
        <v>6</v>
      </c>
      <c r="GJ8">
        <v>7</v>
      </c>
      <c r="GK8">
        <v>7</v>
      </c>
      <c r="GL8">
        <v>7</v>
      </c>
      <c r="GM8">
        <v>7</v>
      </c>
      <c r="GN8">
        <v>7</v>
      </c>
      <c r="GO8">
        <v>7</v>
      </c>
      <c r="GP8">
        <v>7</v>
      </c>
      <c r="GQ8">
        <v>7</v>
      </c>
      <c r="GR8">
        <v>7</v>
      </c>
      <c r="GS8">
        <v>7</v>
      </c>
      <c r="GT8">
        <v>5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cell_doc_counts-v2</vt:lpstr>
      <vt:lpstr>Sheet6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2016-05-26T20:10:05Z</dcterms:created>
  <dcterms:modified xsi:type="dcterms:W3CDTF">2016-06-02T19:06:18Z</dcterms:modified>
</cp:coreProperties>
</file>